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uiro\Downloads\"/>
    </mc:Choice>
  </mc:AlternateContent>
  <xr:revisionPtr revIDLastSave="0" documentId="8_{1C1443EE-10AA-4299-BEBD-365D4AF9BFEF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27" i="10" l="1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7" i="13"/>
  <c r="C6" i="13"/>
  <c r="C5" i="13"/>
  <c r="C4" i="13"/>
  <c r="C3" i="13"/>
  <c r="C2" i="13" s="1"/>
  <c r="C8" i="13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3" i="13"/>
  <c r="B4" i="13" s="1"/>
  <c r="B5" i="13" s="1"/>
  <c r="B6" i="13" s="1"/>
  <c r="B7" i="13" s="1"/>
  <c r="B8" i="13" s="1"/>
  <c r="E9" i="13"/>
  <c r="C10" i="13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8" i="13"/>
  <c r="E7" i="13"/>
  <c r="E6" i="13"/>
  <c r="E5" i="13"/>
  <c r="E4" i="13"/>
  <c r="E3" i="13"/>
  <c r="E2" i="13"/>
</calcChain>
</file>

<file path=xl/sharedStrings.xml><?xml version="1.0" encoding="utf-8"?>
<sst xmlns="http://schemas.openxmlformats.org/spreadsheetml/2006/main" count="15665" uniqueCount="200">
  <si>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</si>
  <si>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</si>
  <si>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</si>
  <si>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</si>
  <si>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</si>
  <si>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</si>
  <si>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</si>
  <si>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</si>
  <si>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</si>
  <si>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</si>
  <si>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</si>
  <si>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</si>
  <si>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</si>
  <si>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</si>
  <si>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</si>
  <si>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</si>
  <si>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</si>
  <si>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</si>
  <si>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</si>
  <si>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</si>
  <si>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</si>
  <si>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</si>
  <si>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</si>
  <si>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</si>
  <si>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</si>
  <si>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</si>
  <si>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</si>
  <si>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</si>
  <si>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</si>
  <si>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</si>
  <si>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</si>
  <si>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</si>
  <si>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</si>
  <si>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</si>
  <si>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</si>
  <si>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</si>
  <si>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</si>
  <si>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</si>
  <si>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</si>
  <si>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</si>
  <si>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</si>
  <si>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</si>
  <si>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</si>
  <si>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</si>
  <si>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</si>
  <si>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</si>
  <si>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</si>
  <si>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</si>
  <si>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</si>
  <si>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</si>
  <si>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</si>
  <si>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</si>
  <si>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</si>
  <si>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</si>
  <si>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</si>
  <si>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</si>
  <si>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</si>
  <si>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</si>
  <si>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</si>
  <si>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</si>
  <si>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</si>
  <si>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</si>
  <si>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</si>
  <si>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</si>
  <si>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</si>
  <si>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</si>
  <si>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</si>
  <si>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</si>
  <si>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</si>
  <si>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</si>
  <si>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</si>
  <si>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</si>
  <si>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</si>
  <si>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</si>
  <si>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</si>
  <si>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</si>
  <si>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</si>
  <si>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</si>
  <si>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</si>
  <si>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</si>
  <si>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</si>
  <si>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</si>
  <si>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</si>
  <si>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</si>
  <si>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</si>
  <si>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</si>
  <si>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</si>
  <si>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</si>
  <si>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</si>
  <si>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</si>
  <si>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</si>
  <si>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</si>
  <si>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</si>
  <si>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</si>
  <si>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</si>
  <si>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</si>
  <si>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</si>
  <si>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</si>
  <si>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</si>
  <si>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</si>
  <si>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</si>
  <si>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</si>
  <si>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</si>
  <si>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</si>
  <si>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</si>
  <si>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</si>
  <si>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</si>
  <si>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</si>
  <si>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</si>
  <si>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</si>
  <si>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</si>
  <si>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</si>
  <si>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</si>
  <si>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</si>
  <si>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</si>
  <si>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</si>
  <si>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</si>
  <si>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</si>
  <si>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</si>
  <si>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</si>
  <si>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</si>
  <si>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</si>
  <si>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</si>
  <si>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</si>
  <si>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</si>
  <si>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</si>
  <si>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</si>
  <si>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</si>
  <si>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</si>
  <si>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</si>
  <si>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</si>
  <si>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</si>
  <si>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</si>
  <si>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</si>
  <si>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</si>
  <si>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</si>
  <si>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</si>
  <si>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</si>
  <si>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</si>
  <si>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</si>
  <si>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</si>
  <si>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</si>
  <si>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</si>
  <si>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</si>
  <si>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</si>
  <si>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</si>
  <si>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</si>
  <si>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</si>
  <si>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Tomas</t>
  </si>
  <si>
    <t>Aston</t>
  </si>
  <si>
    <t>red bull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</si>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</sst>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070.656788657405" createdVersion="8" refreshedVersion="8" minRefreshableVersion="3" recordCount="1406" xr:uid="{1BBBCE25-2A52-493A-920F-C55D98F937F5}">
  <cacheSource type="worksheet">
    <worksheetSource ref="A1:I14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5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56F97-259D-4A7E-93EF-C3265CCF354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9:C18" firstHeaderRow="2" firstDataRow="2" firstDataCol="2" rowPageCount="6" colPageCount="1"/>
  <pivotFields count="9">
    <pivotField axis="axisPage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Page" compact="0" outline="0" multipleItemSelectionAllowed="1" showAll="0" defaultSubtotal="0">
      <items count="27">
        <item x="26"/>
        <item h="1" x="8"/>
        <item h="1" x="25"/>
        <item h="1" x="14"/>
        <item h="1" x="24"/>
        <item h="1" x="2"/>
        <item h="1" x="5"/>
        <item h="1" x="23"/>
        <item h="1" x="19"/>
        <item h="1" x="12"/>
        <item h="1" x="20"/>
        <item h="1" x="9"/>
        <item h="1" x="18"/>
        <item h="1" x="13"/>
        <item h="1" x="0"/>
        <item h="1" x="1"/>
        <item h="1" x="21"/>
        <item h="1" x="3"/>
        <item h="1" x="6"/>
        <item h="1" x="11"/>
        <item h="1" x="10"/>
        <item h="1" x="17"/>
        <item h="1" x="16"/>
        <item h="1" x="7"/>
        <item h="1" x="22"/>
        <item h="1" x="4"/>
        <item h="1" x="15"/>
      </items>
    </pivotField>
    <pivotField axis="axisRow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Row" compact="0" outline="0" multipleItemSelectionAllowed="1" showAll="0" defaultSubtotal="0">
      <items count="25">
        <item x="21"/>
        <item h="1"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</items>
    </pivotField>
    <pivotField axis="axisPage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2">
    <field x="3"/>
    <field x="4"/>
  </rowFields>
  <rowItems count="8">
    <i>
      <x/>
      <x v="8"/>
    </i>
    <i>
      <x v="1"/>
      <x v="6"/>
    </i>
    <i>
      <x v="2"/>
      <x v="15"/>
    </i>
    <i>
      <x v="3"/>
      <x v="5"/>
    </i>
    <i>
      <x v="4"/>
      <x v="22"/>
    </i>
    <i>
      <x v="5"/>
      <x v="18"/>
    </i>
    <i>
      <x v="6"/>
      <x v="12"/>
    </i>
    <i t="grand">
      <x/>
    </i>
  </rowItems>
  <colItems count="1">
    <i/>
  </colItems>
  <pageFields count="6">
    <pageField fld="6" hier="-1"/>
    <pageField fld="1" hier="-1"/>
    <pageField fld="0" hier="-1"/>
    <pageField fld="2" hier="-1"/>
    <pageField fld="7" hier="-1"/>
    <pageField fld="5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N4772"/>
  <sheetViews>
    <sheetView tabSelected="1" workbookViewId="0">
      <pane ySplit="1" topLeftCell="A1417" activePane="bottomLeft" state="frozen"/>
      <selection pane="bottomLeft" activeCell="A1428" sqref="A142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3.53125" customWidth="1"/>
    <col min="12" max="12" width="14.3984375" bestFit="1" customWidth="1"/>
  </cols>
  <sheetData>
    <row r="1" spans="1:9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</row>
    <row r="2" spans="1:9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9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9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9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9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9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9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9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9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9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9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9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9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9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9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152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152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152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152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152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152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153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153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153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153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153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153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4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4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4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4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4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4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4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4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4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4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4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4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4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4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4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4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>VLOOKUP(F1408,$M$1408:$N$1427,2,FALSE)</f>
        <v>Alpine</v>
      </c>
      <c r="H1408">
        <v>1</v>
      </c>
      <c r="I1408">
        <v>25</v>
      </c>
      <c r="M1408" t="s">
        <v>1</v>
      </c>
      <c r="N1408" t="s">
        <v>138</v>
      </c>
    </row>
    <row r="1409" spans="1:14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>VLOOKUP(F1409,$M$1408:$N$1427,2,FALSE)</f>
        <v>Mercedes</v>
      </c>
      <c r="H1409">
        <v>2</v>
      </c>
      <c r="I1409">
        <v>18</v>
      </c>
      <c r="M1409" t="s">
        <v>3</v>
      </c>
      <c r="N1409" t="s">
        <v>146</v>
      </c>
    </row>
    <row r="1410" spans="1:14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>VLOOKUP(F1410,$M$1408:$N$1427,2,FALSE)</f>
        <v>Kick Sauber</v>
      </c>
      <c r="H1410">
        <v>3</v>
      </c>
      <c r="I1410">
        <v>15</v>
      </c>
      <c r="M1410" t="s">
        <v>2</v>
      </c>
      <c r="N1410" t="s">
        <v>141</v>
      </c>
    </row>
    <row r="1411" spans="1:14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>VLOOKUP(F1411,$M$1408:$N$1427,2,FALSE)</f>
        <v>Williams</v>
      </c>
      <c r="H1411">
        <v>4</v>
      </c>
      <c r="I1411">
        <v>12</v>
      </c>
      <c r="M1411" t="s">
        <v>4</v>
      </c>
      <c r="N1411" t="s">
        <v>137</v>
      </c>
    </row>
    <row r="1412" spans="1:14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>VLOOKUP(F1412,$M$1408:$N$1427,2,FALSE)</f>
        <v>Ferrari</v>
      </c>
      <c r="H1412">
        <v>5</v>
      </c>
      <c r="I1412">
        <v>10</v>
      </c>
      <c r="M1412" t="s">
        <v>7</v>
      </c>
      <c r="N1412" t="s">
        <v>146</v>
      </c>
    </row>
    <row r="1413" spans="1:14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>VLOOKUP(F1413,$M$1408:$N$1427,2,FALSE)</f>
        <v>McLaren</v>
      </c>
      <c r="H1413">
        <v>6</v>
      </c>
      <c r="I1413">
        <v>8</v>
      </c>
      <c r="M1413" t="s">
        <v>0</v>
      </c>
      <c r="N1413" t="s">
        <v>141</v>
      </c>
    </row>
    <row r="1414" spans="1:14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>VLOOKUP(F1414,$M$1408:$N$1427,2,FALSE)</f>
        <v>Aston Martin</v>
      </c>
      <c r="H1414">
        <v>7</v>
      </c>
      <c r="I1414">
        <v>6</v>
      </c>
      <c r="M1414" t="s">
        <v>34</v>
      </c>
      <c r="N1414" t="s">
        <v>137</v>
      </c>
    </row>
    <row r="1415" spans="1:14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>VLOOKUP(F1415,$M$1408:$N$1427,2,FALSE)</f>
        <v>Ferrari</v>
      </c>
      <c r="H1415">
        <v>8</v>
      </c>
      <c r="I1415">
        <v>4</v>
      </c>
      <c r="M1415" t="s">
        <v>6</v>
      </c>
      <c r="N1415" t="s">
        <v>136</v>
      </c>
    </row>
    <row r="1416" spans="1:14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>VLOOKUP(F1416,$M$1408:$N$1427,2,FALSE)</f>
        <v>Mercedes</v>
      </c>
      <c r="H1416">
        <v>9</v>
      </c>
      <c r="I1416">
        <v>2</v>
      </c>
      <c r="M1416" t="s">
        <v>36</v>
      </c>
      <c r="N1416" t="s">
        <v>147</v>
      </c>
    </row>
    <row r="1417" spans="1:14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>VLOOKUP(F1417,$M$1408:$N$1427,2,FALSE)</f>
        <v>Red Bull</v>
      </c>
      <c r="H1417">
        <v>10</v>
      </c>
      <c r="I1417">
        <v>1</v>
      </c>
      <c r="M1417" t="s">
        <v>8</v>
      </c>
      <c r="N1417" t="s">
        <v>143</v>
      </c>
    </row>
    <row r="1418" spans="1:14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11</v>
      </c>
      <c r="G1418" t="str">
        <f>VLOOKUP(F1418,$M$1408:$N$1427,2,FALSE)</f>
        <v>Aston Martin</v>
      </c>
      <c r="H1418">
        <v>11</v>
      </c>
      <c r="I1418">
        <v>0</v>
      </c>
      <c r="M1418" t="s">
        <v>12</v>
      </c>
      <c r="N1418" t="s">
        <v>142</v>
      </c>
    </row>
    <row r="1419" spans="1:14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9</v>
      </c>
      <c r="G1419" t="str">
        <f>VLOOKUP(F1419,$M$1408:$N$1427,2,FALSE)</f>
        <v>Haas</v>
      </c>
      <c r="H1419">
        <v>12</v>
      </c>
      <c r="I1419">
        <v>0</v>
      </c>
      <c r="M1419" t="s">
        <v>35</v>
      </c>
      <c r="N1419" t="s">
        <v>145</v>
      </c>
    </row>
    <row r="1420" spans="1:14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13</v>
      </c>
      <c r="G1420" t="str">
        <f>VLOOKUP(F1420,$M$1408:$N$1427,2,FALSE)</f>
        <v>Racing Bulls</v>
      </c>
      <c r="H1420">
        <v>13</v>
      </c>
      <c r="I1420">
        <v>0</v>
      </c>
      <c r="M1420" t="s">
        <v>32</v>
      </c>
      <c r="N1420" t="s">
        <v>143</v>
      </c>
    </row>
    <row r="1421" spans="1:14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14</v>
      </c>
      <c r="G1421" t="str">
        <f>VLOOKUP(F1421,$M$1408:$N$1427,2,FALSE)</f>
        <v>Haas</v>
      </c>
      <c r="H1421">
        <v>14</v>
      </c>
      <c r="I1421">
        <v>0</v>
      </c>
      <c r="M1421" t="s">
        <v>13</v>
      </c>
      <c r="N1421" t="s">
        <v>147</v>
      </c>
    </row>
    <row r="1422" spans="1:14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7</v>
      </c>
      <c r="G1422" t="str">
        <f>VLOOKUP(F1422,$M$1408:$N$1427,2,FALSE)</f>
        <v>McLaren</v>
      </c>
      <c r="H1422">
        <v>15</v>
      </c>
      <c r="I1422">
        <v>0</v>
      </c>
      <c r="M1422" t="s">
        <v>5</v>
      </c>
      <c r="N1422" t="s">
        <v>142</v>
      </c>
    </row>
    <row r="1423" spans="1:14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12</v>
      </c>
      <c r="G1423" t="str">
        <f>VLOOKUP(F1423,$M$1408:$N$1427,2,FALSE)</f>
        <v>Williams</v>
      </c>
      <c r="H1423">
        <v>16</v>
      </c>
      <c r="I1423">
        <v>0</v>
      </c>
      <c r="M1423" t="s">
        <v>9</v>
      </c>
      <c r="N1423" t="s">
        <v>140</v>
      </c>
    </row>
    <row r="1424" spans="1:14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>VLOOKUP(F1424,$M$1408:$N$1427,2,FALSE)</f>
        <v>Racing Bulls</v>
      </c>
      <c r="H1424">
        <v>17</v>
      </c>
      <c r="I1424">
        <v>0</v>
      </c>
      <c r="M1424" t="s">
        <v>11</v>
      </c>
      <c r="N1424" t="s">
        <v>136</v>
      </c>
    </row>
    <row r="1425" spans="1:14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8</v>
      </c>
      <c r="G1425" t="str">
        <f>VLOOKUP(F1425,$M$1408:$N$1427,2,FALSE)</f>
        <v>Alpine</v>
      </c>
      <c r="H1425">
        <v>18</v>
      </c>
      <c r="I1425">
        <v>0</v>
      </c>
      <c r="M1425" t="s">
        <v>33</v>
      </c>
      <c r="N1425" t="s">
        <v>138</v>
      </c>
    </row>
    <row r="1426" spans="1:14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>VLOOKUP(F1426,$M$1408:$N$1427,2,FALSE)</f>
        <v>Kick Sauber</v>
      </c>
      <c r="H1426">
        <v>19</v>
      </c>
      <c r="I1426">
        <v>0</v>
      </c>
      <c r="M1426" t="s">
        <v>10</v>
      </c>
      <c r="N1426" t="s">
        <v>145</v>
      </c>
    </row>
    <row r="1427" spans="1:14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1</v>
      </c>
      <c r="G1427" t="str">
        <f>VLOOKUP(F1427,$M$1408:$N$1427,2,FALSE)</f>
        <v>Red Bull</v>
      </c>
      <c r="H1427">
        <v>20</v>
      </c>
      <c r="I1427">
        <v>0</v>
      </c>
      <c r="M1427" t="s">
        <v>14</v>
      </c>
      <c r="N1427" t="s">
        <v>140</v>
      </c>
    </row>
    <row r="1428" spans="1:14" x14ac:dyDescent="0.45">
      <c r="E1428" t="s">
        <v>37</v>
      </c>
      <c r="I1428" t="s">
        <v>37</v>
      </c>
    </row>
    <row r="1429" spans="1:14" x14ac:dyDescent="0.45">
      <c r="E1429" t="s">
        <v>37</v>
      </c>
      <c r="I1429" t="s">
        <v>37</v>
      </c>
    </row>
    <row r="1430" spans="1:14" x14ac:dyDescent="0.45">
      <c r="E1430" t="s">
        <v>37</v>
      </c>
      <c r="I1430" t="s">
        <v>37</v>
      </c>
    </row>
    <row r="1431" spans="1:14" x14ac:dyDescent="0.45">
      <c r="E1431" t="s">
        <v>37</v>
      </c>
      <c r="I1431" t="s">
        <v>37</v>
      </c>
    </row>
    <row r="1432" spans="1:14" x14ac:dyDescent="0.45">
      <c r="E1432" t="s">
        <v>37</v>
      </c>
      <c r="I1432" t="s">
        <v>37</v>
      </c>
    </row>
    <row r="1433" spans="1:14" x14ac:dyDescent="0.45">
      <c r="E1433" t="s">
        <v>37</v>
      </c>
      <c r="I1433" t="s">
        <v>37</v>
      </c>
    </row>
    <row r="1434" spans="1:14" x14ac:dyDescent="0.45">
      <c r="E1434" t="s">
        <v>37</v>
      </c>
      <c r="I1434" t="s">
        <v>37</v>
      </c>
    </row>
    <row r="1435" spans="1:14" x14ac:dyDescent="0.45">
      <c r="E1435" t="s">
        <v>37</v>
      </c>
      <c r="I1435" t="s">
        <v>37</v>
      </c>
    </row>
    <row r="1436" spans="1:14" x14ac:dyDescent="0.45">
      <c r="E1436" t="s">
        <v>37</v>
      </c>
      <c r="I1436" t="s">
        <v>37</v>
      </c>
    </row>
    <row r="1437" spans="1:14" x14ac:dyDescent="0.45">
      <c r="E1437" t="s">
        <v>37</v>
      </c>
      <c r="I1437" t="s">
        <v>37</v>
      </c>
    </row>
    <row r="1438" spans="1:14" x14ac:dyDescent="0.45">
      <c r="E1438" t="s">
        <v>37</v>
      </c>
      <c r="I1438" t="s">
        <v>37</v>
      </c>
    </row>
    <row r="1439" spans="1:14" x14ac:dyDescent="0.45">
      <c r="E1439" t="s">
        <v>37</v>
      </c>
      <c r="I1439" t="s">
        <v>37</v>
      </c>
    </row>
    <row r="1440" spans="1:14" x14ac:dyDescent="0.45">
      <c r="E1440" t="s">
        <v>37</v>
      </c>
      <c r="I1440" t="s">
        <v>37</v>
      </c>
    </row>
    <row r="1441" spans="5:9" x14ac:dyDescent="0.45">
      <c r="E1441" t="s">
        <v>37</v>
      </c>
      <c r="I1441" t="s">
        <v>37</v>
      </c>
    </row>
    <row r="1442" spans="5:9" x14ac:dyDescent="0.45">
      <c r="E1442" t="s">
        <v>37</v>
      </c>
      <c r="I1442" t="s">
        <v>37</v>
      </c>
    </row>
    <row r="1443" spans="5:9" x14ac:dyDescent="0.45">
      <c r="E1443" t="s">
        <v>37</v>
      </c>
      <c r="I1443" t="s">
        <v>37</v>
      </c>
    </row>
    <row r="1444" spans="5:9" x14ac:dyDescent="0.45">
      <c r="E1444" t="s">
        <v>37</v>
      </c>
      <c r="I1444" t="s">
        <v>37</v>
      </c>
    </row>
    <row r="1445" spans="5:9" x14ac:dyDescent="0.45">
      <c r="E1445" t="s">
        <v>37</v>
      </c>
      <c r="I1445" t="s">
        <v>37</v>
      </c>
    </row>
    <row r="1446" spans="5:9" x14ac:dyDescent="0.45">
      <c r="E1446" t="s">
        <v>37</v>
      </c>
      <c r="I1446" t="s">
        <v>37</v>
      </c>
    </row>
    <row r="1447" spans="5:9" x14ac:dyDescent="0.45">
      <c r="E1447" t="s">
        <v>37</v>
      </c>
      <c r="I1447" t="s">
        <v>37</v>
      </c>
    </row>
    <row r="1448" spans="5:9" x14ac:dyDescent="0.45">
      <c r="E1448" t="s">
        <v>37</v>
      </c>
      <c r="I1448" t="s">
        <v>37</v>
      </c>
    </row>
    <row r="1449" spans="5:9" x14ac:dyDescent="0.45">
      <c r="E1449" t="s">
        <v>37</v>
      </c>
      <c r="I1449" t="s">
        <v>37</v>
      </c>
    </row>
    <row r="1450" spans="5:9" x14ac:dyDescent="0.45">
      <c r="E1450" t="s">
        <v>37</v>
      </c>
      <c r="I1450" t="s">
        <v>37</v>
      </c>
    </row>
    <row r="1451" spans="5:9" x14ac:dyDescent="0.45">
      <c r="E1451" t="s">
        <v>37</v>
      </c>
      <c r="I1451" t="s">
        <v>37</v>
      </c>
    </row>
    <row r="1452" spans="5:9" x14ac:dyDescent="0.45">
      <c r="E1452" t="s">
        <v>37</v>
      </c>
      <c r="I1452" t="s">
        <v>37</v>
      </c>
    </row>
    <row r="1453" spans="5:9" x14ac:dyDescent="0.45">
      <c r="E1453" t="s">
        <v>37</v>
      </c>
      <c r="I1453" t="s">
        <v>37</v>
      </c>
    </row>
    <row r="1454" spans="5:9" x14ac:dyDescent="0.45">
      <c r="E1454" t="s">
        <v>37</v>
      </c>
      <c r="I1454" t="s">
        <v>37</v>
      </c>
    </row>
    <row r="1455" spans="5:9" x14ac:dyDescent="0.45">
      <c r="E1455" t="s">
        <v>37</v>
      </c>
      <c r="I1455" t="s">
        <v>37</v>
      </c>
    </row>
    <row r="1456" spans="5:9" x14ac:dyDescent="0.45">
      <c r="E1456" t="s">
        <v>37</v>
      </c>
      <c r="I1456" t="s">
        <v>37</v>
      </c>
    </row>
    <row r="1457" spans="5:9" x14ac:dyDescent="0.45">
      <c r="E1457" t="s">
        <v>37</v>
      </c>
      <c r="I1457" t="s">
        <v>37</v>
      </c>
    </row>
    <row r="1458" spans="5:9" x14ac:dyDescent="0.45">
      <c r="E1458" t="s">
        <v>37</v>
      </c>
      <c r="I1458" t="s">
        <v>37</v>
      </c>
    </row>
    <row r="1459" spans="5:9" x14ac:dyDescent="0.45">
      <c r="E1459" t="s">
        <v>37</v>
      </c>
      <c r="I1459" t="s">
        <v>37</v>
      </c>
    </row>
    <row r="1460" spans="5:9" x14ac:dyDescent="0.45">
      <c r="E1460" t="s">
        <v>37</v>
      </c>
      <c r="I1460" t="s">
        <v>37</v>
      </c>
    </row>
    <row r="1461" spans="5:9" x14ac:dyDescent="0.45">
      <c r="E1461" t="s">
        <v>37</v>
      </c>
      <c r="I1461" t="s">
        <v>37</v>
      </c>
    </row>
    <row r="1462" spans="5:9" x14ac:dyDescent="0.45">
      <c r="E1462" t="s">
        <v>37</v>
      </c>
      <c r="I1462" t="s">
        <v>37</v>
      </c>
    </row>
    <row r="1463" spans="5:9" x14ac:dyDescent="0.45">
      <c r="E1463" t="s">
        <v>37</v>
      </c>
      <c r="I1463" t="s">
        <v>37</v>
      </c>
    </row>
    <row r="1464" spans="5:9" x14ac:dyDescent="0.45">
      <c r="E1464" t="s">
        <v>37</v>
      </c>
      <c r="I1464" t="s">
        <v>37</v>
      </c>
    </row>
    <row r="1465" spans="5:9" x14ac:dyDescent="0.45">
      <c r="E1465" t="s">
        <v>37</v>
      </c>
      <c r="I1465" t="s">
        <v>37</v>
      </c>
    </row>
    <row r="1466" spans="5:9" x14ac:dyDescent="0.45">
      <c r="E1466" t="s">
        <v>37</v>
      </c>
      <c r="I1466" t="s">
        <v>37</v>
      </c>
    </row>
    <row r="1467" spans="5:9" x14ac:dyDescent="0.45">
      <c r="E1467" t="s">
        <v>37</v>
      </c>
      <c r="I1467" t="s">
        <v>37</v>
      </c>
    </row>
    <row r="1468" spans="5:9" x14ac:dyDescent="0.45">
      <c r="E1468" t="s">
        <v>37</v>
      </c>
      <c r="I1468" t="s">
        <v>37</v>
      </c>
    </row>
    <row r="1469" spans="5:9" x14ac:dyDescent="0.45">
      <c r="E1469" t="s">
        <v>37</v>
      </c>
      <c r="I1469" t="s">
        <v>37</v>
      </c>
    </row>
    <row r="1470" spans="5:9" x14ac:dyDescent="0.45">
      <c r="E1470" t="s">
        <v>37</v>
      </c>
      <c r="I1470" t="s">
        <v>37</v>
      </c>
    </row>
    <row r="1471" spans="5:9" x14ac:dyDescent="0.45">
      <c r="E1471" t="s">
        <v>37</v>
      </c>
      <c r="I1471" t="s">
        <v>37</v>
      </c>
    </row>
    <row r="1472" spans="5:9" x14ac:dyDescent="0.45">
      <c r="E1472" t="s">
        <v>37</v>
      </c>
      <c r="I1472" t="s">
        <v>37</v>
      </c>
    </row>
    <row r="1473" spans="5:9" x14ac:dyDescent="0.45">
      <c r="E1473" t="s">
        <v>37</v>
      </c>
      <c r="I1473" t="s">
        <v>37</v>
      </c>
    </row>
    <row r="1474" spans="5:9" x14ac:dyDescent="0.45">
      <c r="E1474" t="s">
        <v>37</v>
      </c>
      <c r="I1474" t="s">
        <v>37</v>
      </c>
    </row>
    <row r="1475" spans="5:9" x14ac:dyDescent="0.45">
      <c r="E1475" t="s">
        <v>37</v>
      </c>
      <c r="I1475" t="s">
        <v>37</v>
      </c>
    </row>
    <row r="1476" spans="5:9" x14ac:dyDescent="0.45">
      <c r="E1476" t="s">
        <v>37</v>
      </c>
      <c r="I1476" t="s">
        <v>37</v>
      </c>
    </row>
    <row r="1477" spans="5:9" x14ac:dyDescent="0.45">
      <c r="E1477" t="s">
        <v>37</v>
      </c>
      <c r="I1477" t="s">
        <v>37</v>
      </c>
    </row>
    <row r="1478" spans="5:9" x14ac:dyDescent="0.45">
      <c r="E1478" t="s">
        <v>37</v>
      </c>
      <c r="I1478" t="s">
        <v>37</v>
      </c>
    </row>
    <row r="1479" spans="5:9" x14ac:dyDescent="0.45">
      <c r="E1479" t="s">
        <v>37</v>
      </c>
      <c r="I1479" t="s">
        <v>37</v>
      </c>
    </row>
    <row r="1480" spans="5:9" x14ac:dyDescent="0.45">
      <c r="E1480" t="s">
        <v>37</v>
      </c>
      <c r="I1480" t="s">
        <v>37</v>
      </c>
    </row>
    <row r="1481" spans="5:9" x14ac:dyDescent="0.45">
      <c r="E1481" t="s">
        <v>37</v>
      </c>
      <c r="I1481" t="s">
        <v>37</v>
      </c>
    </row>
    <row r="1482" spans="5:9" x14ac:dyDescent="0.45">
      <c r="E1482" t="s">
        <v>37</v>
      </c>
      <c r="I1482" t="s">
        <v>37</v>
      </c>
    </row>
    <row r="1483" spans="5:9" x14ac:dyDescent="0.45">
      <c r="E1483" t="s">
        <v>37</v>
      </c>
      <c r="I1483" t="s">
        <v>37</v>
      </c>
    </row>
    <row r="1484" spans="5:9" x14ac:dyDescent="0.45">
      <c r="E1484" t="s">
        <v>37</v>
      </c>
      <c r="I1484" t="s">
        <v>37</v>
      </c>
    </row>
    <row r="1485" spans="5:9" x14ac:dyDescent="0.45">
      <c r="E1485" t="s">
        <v>37</v>
      </c>
      <c r="I1485" t="s">
        <v>37</v>
      </c>
    </row>
    <row r="1486" spans="5:9" x14ac:dyDescent="0.45">
      <c r="E1486" t="s">
        <v>37</v>
      </c>
      <c r="I1486" t="s">
        <v>37</v>
      </c>
    </row>
    <row r="1487" spans="5:9" x14ac:dyDescent="0.45">
      <c r="E1487" t="s">
        <v>37</v>
      </c>
      <c r="I1487" t="s">
        <v>37</v>
      </c>
    </row>
    <row r="1488" spans="5:9" x14ac:dyDescent="0.45">
      <c r="E1488" t="s">
        <v>37</v>
      </c>
      <c r="I1488" t="s">
        <v>37</v>
      </c>
    </row>
    <row r="1489" spans="5:9" x14ac:dyDescent="0.45">
      <c r="E1489" t="s">
        <v>37</v>
      </c>
      <c r="I1489" t="s">
        <v>37</v>
      </c>
    </row>
    <row r="1490" spans="5:9" x14ac:dyDescent="0.45">
      <c r="E1490" t="s">
        <v>37</v>
      </c>
      <c r="I1490" t="s">
        <v>37</v>
      </c>
    </row>
    <row r="1491" spans="5:9" x14ac:dyDescent="0.45">
      <c r="E1491" t="s">
        <v>37</v>
      </c>
      <c r="I1491" t="s">
        <v>37</v>
      </c>
    </row>
    <row r="1492" spans="5:9" x14ac:dyDescent="0.45">
      <c r="E1492" t="s">
        <v>37</v>
      </c>
      <c r="I1492" t="s">
        <v>37</v>
      </c>
    </row>
    <row r="1493" spans="5:9" x14ac:dyDescent="0.45">
      <c r="E1493" t="s">
        <v>37</v>
      </c>
      <c r="I1493" t="s">
        <v>37</v>
      </c>
    </row>
    <row r="1494" spans="5:9" x14ac:dyDescent="0.45">
      <c r="E1494" t="s">
        <v>37</v>
      </c>
      <c r="I1494" t="s">
        <v>37</v>
      </c>
    </row>
    <row r="1495" spans="5:9" x14ac:dyDescent="0.45">
      <c r="E1495" t="s">
        <v>37</v>
      </c>
      <c r="I1495" t="s">
        <v>37</v>
      </c>
    </row>
    <row r="1496" spans="5:9" x14ac:dyDescent="0.45">
      <c r="E1496" t="s">
        <v>37</v>
      </c>
      <c r="I1496" t="s">
        <v>37</v>
      </c>
    </row>
    <row r="1497" spans="5:9" x14ac:dyDescent="0.45">
      <c r="E1497" t="s">
        <v>37</v>
      </c>
      <c r="I1497" t="s">
        <v>37</v>
      </c>
    </row>
    <row r="1498" spans="5:9" x14ac:dyDescent="0.45">
      <c r="E1498" t="s">
        <v>37</v>
      </c>
      <c r="I1498" t="s">
        <v>37</v>
      </c>
    </row>
    <row r="1499" spans="5:9" x14ac:dyDescent="0.45">
      <c r="E1499" t="s">
        <v>37</v>
      </c>
      <c r="I1499" t="s">
        <v>37</v>
      </c>
    </row>
    <row r="1500" spans="5:9" x14ac:dyDescent="0.45">
      <c r="E1500" t="s">
        <v>37</v>
      </c>
      <c r="I1500" t="s">
        <v>37</v>
      </c>
    </row>
    <row r="1501" spans="5:9" x14ac:dyDescent="0.45">
      <c r="E1501" t="s">
        <v>37</v>
      </c>
      <c r="I1501" t="s">
        <v>37</v>
      </c>
    </row>
    <row r="1502" spans="5:9" x14ac:dyDescent="0.45">
      <c r="E1502" t="s">
        <v>37</v>
      </c>
      <c r="I1502" t="s">
        <v>37</v>
      </c>
    </row>
    <row r="1503" spans="5:9" x14ac:dyDescent="0.45">
      <c r="E1503" t="s">
        <v>37</v>
      </c>
      <c r="I1503" t="s">
        <v>37</v>
      </c>
    </row>
    <row r="1504" spans="5:9" x14ac:dyDescent="0.45">
      <c r="E1504" t="s">
        <v>37</v>
      </c>
      <c r="I1504" t="s">
        <v>37</v>
      </c>
    </row>
    <row r="1505" spans="5:9" x14ac:dyDescent="0.45">
      <c r="E1505" t="s">
        <v>37</v>
      </c>
      <c r="I1505" t="s">
        <v>37</v>
      </c>
    </row>
    <row r="1506" spans="5:9" x14ac:dyDescent="0.45">
      <c r="E1506" t="s">
        <v>37</v>
      </c>
      <c r="I1506" t="s">
        <v>37</v>
      </c>
    </row>
    <row r="1507" spans="5:9" x14ac:dyDescent="0.45">
      <c r="E1507" t="s">
        <v>37</v>
      </c>
      <c r="I1507" t="s">
        <v>37</v>
      </c>
    </row>
    <row r="1508" spans="5:9" x14ac:dyDescent="0.45">
      <c r="E1508" t="s">
        <v>37</v>
      </c>
      <c r="I1508" t="s">
        <v>37</v>
      </c>
    </row>
    <row r="1509" spans="5:9" x14ac:dyDescent="0.45">
      <c r="E1509" t="s">
        <v>37</v>
      </c>
      <c r="I1509" t="s">
        <v>37</v>
      </c>
    </row>
    <row r="1510" spans="5:9" x14ac:dyDescent="0.45">
      <c r="E1510" t="s">
        <v>37</v>
      </c>
      <c r="I1510" t="s">
        <v>37</v>
      </c>
    </row>
    <row r="1511" spans="5:9" x14ac:dyDescent="0.45">
      <c r="E1511" t="s">
        <v>37</v>
      </c>
      <c r="I1511" t="s">
        <v>37</v>
      </c>
    </row>
    <row r="1512" spans="5:9" x14ac:dyDescent="0.45">
      <c r="E1512" t="s">
        <v>37</v>
      </c>
      <c r="I1512" t="s">
        <v>37</v>
      </c>
    </row>
    <row r="1513" spans="5:9" x14ac:dyDescent="0.45">
      <c r="E1513" t="s">
        <v>37</v>
      </c>
      <c r="I1513" t="s">
        <v>37</v>
      </c>
    </row>
    <row r="1514" spans="5:9" x14ac:dyDescent="0.45">
      <c r="E1514" t="s">
        <v>37</v>
      </c>
      <c r="I1514" t="s">
        <v>37</v>
      </c>
    </row>
    <row r="1515" spans="5:9" x14ac:dyDescent="0.45">
      <c r="E1515" t="s">
        <v>37</v>
      </c>
      <c r="I1515" t="s">
        <v>37</v>
      </c>
    </row>
    <row r="1516" spans="5:9" x14ac:dyDescent="0.45">
      <c r="E1516" t="s">
        <v>37</v>
      </c>
      <c r="I1516" t="s">
        <v>37</v>
      </c>
    </row>
    <row r="1517" spans="5:9" x14ac:dyDescent="0.45">
      <c r="E1517" t="s">
        <v>37</v>
      </c>
      <c r="I1517" t="s">
        <v>37</v>
      </c>
    </row>
    <row r="1518" spans="5:9" x14ac:dyDescent="0.45">
      <c r="E1518" t="s">
        <v>37</v>
      </c>
      <c r="I1518" t="s">
        <v>37</v>
      </c>
    </row>
    <row r="1519" spans="5:9" x14ac:dyDescent="0.45">
      <c r="E1519" t="s">
        <v>37</v>
      </c>
      <c r="I1519" t="s">
        <v>37</v>
      </c>
    </row>
    <row r="1520" spans="5:9" x14ac:dyDescent="0.45">
      <c r="E1520" t="s">
        <v>37</v>
      </c>
      <c r="I1520" t="s">
        <v>37</v>
      </c>
    </row>
    <row r="1521" spans="5:9" x14ac:dyDescent="0.45">
      <c r="E1521" t="s">
        <v>37</v>
      </c>
      <c r="I1521" t="s">
        <v>37</v>
      </c>
    </row>
    <row r="1522" spans="5:9" x14ac:dyDescent="0.45">
      <c r="E1522" t="s">
        <v>37</v>
      </c>
      <c r="I1522" t="s">
        <v>37</v>
      </c>
    </row>
    <row r="1523" spans="5:9" x14ac:dyDescent="0.45">
      <c r="E1523" t="s">
        <v>37</v>
      </c>
      <c r="I1523" t="s">
        <v>37</v>
      </c>
    </row>
    <row r="1524" spans="5:9" x14ac:dyDescent="0.45">
      <c r="E1524" t="s">
        <v>37</v>
      </c>
      <c r="I1524" t="s">
        <v>37</v>
      </c>
    </row>
    <row r="1525" spans="5:9" x14ac:dyDescent="0.45">
      <c r="E1525" t="s">
        <v>37</v>
      </c>
      <c r="I1525" t="s">
        <v>37</v>
      </c>
    </row>
    <row r="1526" spans="5:9" x14ac:dyDescent="0.45">
      <c r="E1526" t="s">
        <v>37</v>
      </c>
      <c r="I1526" t="s">
        <v>37</v>
      </c>
    </row>
    <row r="1527" spans="5:9" x14ac:dyDescent="0.45">
      <c r="E1527" t="s">
        <v>37</v>
      </c>
      <c r="I1527" t="s">
        <v>37</v>
      </c>
    </row>
    <row r="1528" spans="5:9" x14ac:dyDescent="0.45">
      <c r="E1528" t="s">
        <v>37</v>
      </c>
      <c r="I1528" t="s">
        <v>37</v>
      </c>
    </row>
    <row r="1529" spans="5:9" x14ac:dyDescent="0.45">
      <c r="E1529" t="s">
        <v>37</v>
      </c>
      <c r="I1529" t="s">
        <v>37</v>
      </c>
    </row>
    <row r="1530" spans="5:9" x14ac:dyDescent="0.45">
      <c r="E1530" t="s">
        <v>37</v>
      </c>
      <c r="I1530" t="s">
        <v>37</v>
      </c>
    </row>
    <row r="1531" spans="5:9" x14ac:dyDescent="0.45">
      <c r="E1531" t="s">
        <v>37</v>
      </c>
      <c r="I1531" t="s">
        <v>37</v>
      </c>
    </row>
    <row r="1532" spans="5:9" x14ac:dyDescent="0.45">
      <c r="E1532" t="s">
        <v>37</v>
      </c>
      <c r="I1532" t="s">
        <v>37</v>
      </c>
    </row>
    <row r="1533" spans="5:9" x14ac:dyDescent="0.45">
      <c r="E1533" t="s">
        <v>37</v>
      </c>
      <c r="I1533" t="s">
        <v>37</v>
      </c>
    </row>
    <row r="1534" spans="5:9" x14ac:dyDescent="0.45">
      <c r="E1534" t="s">
        <v>37</v>
      </c>
      <c r="I1534" t="s">
        <v>37</v>
      </c>
    </row>
    <row r="1535" spans="5:9" x14ac:dyDescent="0.45">
      <c r="E1535" t="s">
        <v>37</v>
      </c>
      <c r="I1535" t="s">
        <v>37</v>
      </c>
    </row>
    <row r="1536" spans="5:9" x14ac:dyDescent="0.45">
      <c r="E1536" t="s">
        <v>37</v>
      </c>
      <c r="I1536" t="s">
        <v>37</v>
      </c>
    </row>
    <row r="1537" spans="5:9" x14ac:dyDescent="0.45">
      <c r="E1537" t="s">
        <v>37</v>
      </c>
      <c r="I1537" t="s">
        <v>37</v>
      </c>
    </row>
    <row r="1538" spans="5:9" x14ac:dyDescent="0.45">
      <c r="E1538" t="s">
        <v>37</v>
      </c>
      <c r="I1538" t="s">
        <v>37</v>
      </c>
    </row>
    <row r="1539" spans="5:9" x14ac:dyDescent="0.45">
      <c r="E1539" t="s">
        <v>37</v>
      </c>
      <c r="I1539" t="s">
        <v>37</v>
      </c>
    </row>
    <row r="1540" spans="5:9" x14ac:dyDescent="0.45">
      <c r="E1540" t="s">
        <v>37</v>
      </c>
      <c r="I1540" t="s">
        <v>37</v>
      </c>
    </row>
    <row r="1541" spans="5:9" x14ac:dyDescent="0.45">
      <c r="E1541" t="s">
        <v>37</v>
      </c>
      <c r="I1541" t="s">
        <v>37</v>
      </c>
    </row>
    <row r="1542" spans="5:9" x14ac:dyDescent="0.45">
      <c r="E1542" t="s">
        <v>37</v>
      </c>
      <c r="I1542" t="s">
        <v>37</v>
      </c>
    </row>
    <row r="1543" spans="5:9" x14ac:dyDescent="0.45">
      <c r="E1543" t="s">
        <v>37</v>
      </c>
      <c r="I1543" t="s">
        <v>37</v>
      </c>
    </row>
    <row r="1544" spans="5:9" x14ac:dyDescent="0.45">
      <c r="E1544" t="s">
        <v>37</v>
      </c>
      <c r="I1544" t="s">
        <v>37</v>
      </c>
    </row>
    <row r="1545" spans="5:9" x14ac:dyDescent="0.45">
      <c r="E1545" t="s">
        <v>37</v>
      </c>
      <c r="I1545" t="s">
        <v>37</v>
      </c>
    </row>
    <row r="1546" spans="5:9" x14ac:dyDescent="0.45">
      <c r="E1546" t="s">
        <v>37</v>
      </c>
      <c r="I1546" t="s">
        <v>37</v>
      </c>
    </row>
    <row r="1547" spans="5:9" x14ac:dyDescent="0.45">
      <c r="E1547" t="s">
        <v>37</v>
      </c>
      <c r="I1547" t="s">
        <v>37</v>
      </c>
    </row>
    <row r="1548" spans="5:9" x14ac:dyDescent="0.45">
      <c r="E1548" t="s">
        <v>37</v>
      </c>
      <c r="I1548" t="s">
        <v>37</v>
      </c>
    </row>
    <row r="1549" spans="5:9" x14ac:dyDescent="0.45">
      <c r="E1549" t="s">
        <v>37</v>
      </c>
      <c r="I1549" t="s">
        <v>37</v>
      </c>
    </row>
    <row r="1550" spans="5:9" x14ac:dyDescent="0.45">
      <c r="E1550" t="s">
        <v>37</v>
      </c>
      <c r="I1550" t="s">
        <v>37</v>
      </c>
    </row>
    <row r="1551" spans="5:9" x14ac:dyDescent="0.45">
      <c r="E1551" t="s">
        <v>37</v>
      </c>
      <c r="I1551" t="s">
        <v>37</v>
      </c>
    </row>
    <row r="1552" spans="5:9" x14ac:dyDescent="0.45">
      <c r="E1552" t="s">
        <v>37</v>
      </c>
      <c r="I1552" t="s">
        <v>37</v>
      </c>
    </row>
    <row r="1553" spans="5:9" x14ac:dyDescent="0.45">
      <c r="E1553" t="s">
        <v>37</v>
      </c>
      <c r="I1553" t="s">
        <v>37</v>
      </c>
    </row>
    <row r="1554" spans="5:9" x14ac:dyDescent="0.45">
      <c r="E1554" t="s">
        <v>37</v>
      </c>
      <c r="I1554" t="s">
        <v>37</v>
      </c>
    </row>
    <row r="1555" spans="5:9" x14ac:dyDescent="0.45">
      <c r="E1555" t="s">
        <v>37</v>
      </c>
      <c r="I1555" t="s">
        <v>37</v>
      </c>
    </row>
    <row r="1556" spans="5:9" x14ac:dyDescent="0.45">
      <c r="E1556" t="s">
        <v>37</v>
      </c>
      <c r="I1556" t="s">
        <v>37</v>
      </c>
    </row>
    <row r="1557" spans="5:9" x14ac:dyDescent="0.45">
      <c r="E1557" t="s">
        <v>37</v>
      </c>
      <c r="I1557" t="s">
        <v>37</v>
      </c>
    </row>
    <row r="1558" spans="5:9" x14ac:dyDescent="0.45">
      <c r="E1558" t="s">
        <v>37</v>
      </c>
      <c r="I1558" t="s">
        <v>37</v>
      </c>
    </row>
    <row r="1559" spans="5:9" x14ac:dyDescent="0.45">
      <c r="E1559" t="s">
        <v>37</v>
      </c>
      <c r="I1559" t="s">
        <v>37</v>
      </c>
    </row>
    <row r="1560" spans="5:9" x14ac:dyDescent="0.45">
      <c r="E1560" t="s">
        <v>37</v>
      </c>
      <c r="I1560" t="s">
        <v>37</v>
      </c>
    </row>
    <row r="1561" spans="5:9" x14ac:dyDescent="0.45">
      <c r="E1561" t="s">
        <v>37</v>
      </c>
      <c r="I1561" t="s">
        <v>37</v>
      </c>
    </row>
    <row r="1562" spans="5:9" x14ac:dyDescent="0.45">
      <c r="E1562" t="s">
        <v>37</v>
      </c>
      <c r="I1562" t="s">
        <v>37</v>
      </c>
    </row>
    <row r="1563" spans="5:9" x14ac:dyDescent="0.45">
      <c r="E1563" t="s">
        <v>37</v>
      </c>
      <c r="I1563" t="s">
        <v>37</v>
      </c>
    </row>
    <row r="1564" spans="5:9" x14ac:dyDescent="0.45">
      <c r="E1564" t="s">
        <v>37</v>
      </c>
      <c r="I1564" t="s">
        <v>37</v>
      </c>
    </row>
    <row r="1565" spans="5:9" x14ac:dyDescent="0.45">
      <c r="E1565" t="s">
        <v>37</v>
      </c>
      <c r="I1565" t="s">
        <v>37</v>
      </c>
    </row>
    <row r="1566" spans="5:9" x14ac:dyDescent="0.45">
      <c r="E1566" t="s">
        <v>37</v>
      </c>
      <c r="I1566" t="s">
        <v>37</v>
      </c>
    </row>
    <row r="1567" spans="5:9" x14ac:dyDescent="0.45">
      <c r="E1567" t="s">
        <v>37</v>
      </c>
      <c r="I1567" t="s">
        <v>37</v>
      </c>
    </row>
    <row r="1568" spans="5:9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opLeftCell="A6" workbookViewId="0">
      <selection activeCell="G30" sqref="G30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730468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196</v>
      </c>
      <c r="D1" s="7" t="s">
        <v>26</v>
      </c>
      <c r="E1" s="7" t="s">
        <v>156</v>
      </c>
      <c r="F1" s="7" t="s">
        <v>197</v>
      </c>
      <c r="K1" s="8" t="s">
        <v>26</v>
      </c>
      <c r="L1" s="8" t="s">
        <v>156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198</v>
      </c>
      <c r="K2" t="s">
        <v>190</v>
      </c>
      <c r="L2" t="s">
        <v>167</v>
      </c>
    </row>
    <row r="3" spans="1:12" x14ac:dyDescent="0.45">
      <c r="A3" t="s">
        <v>31</v>
      </c>
      <c r="B3">
        <f t="shared" ref="B3:B25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198</v>
      </c>
      <c r="K3" t="s">
        <v>129</v>
      </c>
      <c r="L3" t="s">
        <v>181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198</v>
      </c>
      <c r="K4" t="s">
        <v>115</v>
      </c>
      <c r="L4" t="s">
        <v>157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198</v>
      </c>
      <c r="K5" t="s">
        <v>126</v>
      </c>
      <c r="L5" t="s">
        <v>166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198</v>
      </c>
      <c r="K6" t="s">
        <v>122</v>
      </c>
      <c r="L6" t="s">
        <v>173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198</v>
      </c>
      <c r="K7" t="s">
        <v>15</v>
      </c>
      <c r="L7" t="s">
        <v>158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198</v>
      </c>
      <c r="K8" t="s">
        <v>19</v>
      </c>
      <c r="L8" t="s">
        <v>169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198</v>
      </c>
      <c r="K9" t="s">
        <v>18</v>
      </c>
      <c r="L9" t="s">
        <v>167</v>
      </c>
    </row>
    <row r="10" spans="1:12" x14ac:dyDescent="0.45">
      <c r="A10" t="s">
        <v>31</v>
      </c>
      <c r="B10">
        <f t="shared" si="1"/>
        <v>9</v>
      </c>
      <c r="C10" s="9">
        <f>C9+7</f>
        <v>46081</v>
      </c>
      <c r="D10" t="s">
        <v>119</v>
      </c>
      <c r="E10" t="str">
        <f t="shared" ref="E10:E25" si="3">VLOOKUP(D10,$K$1:$L$33,2,FALSE)</f>
        <v>Circuit Gilles Villeneuve</v>
      </c>
      <c r="F10" t="s">
        <v>199</v>
      </c>
      <c r="K10" t="s">
        <v>119</v>
      </c>
      <c r="L10" t="s">
        <v>164</v>
      </c>
    </row>
    <row r="11" spans="1:12" x14ac:dyDescent="0.45">
      <c r="A11" t="s">
        <v>31</v>
      </c>
      <c r="B11">
        <f t="shared" si="1"/>
        <v>10</v>
      </c>
      <c r="C11" s="9">
        <f t="shared" ref="C11:C25" si="4">C10+7</f>
        <v>46088</v>
      </c>
      <c r="D11" t="s">
        <v>126</v>
      </c>
      <c r="E11" t="str">
        <f t="shared" si="3"/>
        <v>Red Bull Ring</v>
      </c>
      <c r="F11" t="s">
        <v>199</v>
      </c>
      <c r="K11" t="s">
        <v>117</v>
      </c>
      <c r="L11" t="s">
        <v>160</v>
      </c>
    </row>
    <row r="12" spans="1:12" x14ac:dyDescent="0.45">
      <c r="A12" t="s">
        <v>31</v>
      </c>
      <c r="B12">
        <f t="shared" si="1"/>
        <v>11</v>
      </c>
      <c r="C12" s="9">
        <f t="shared" si="4"/>
        <v>46095</v>
      </c>
      <c r="D12" t="s">
        <v>127</v>
      </c>
      <c r="E12" t="str">
        <f t="shared" si="3"/>
        <v>Hungaroring</v>
      </c>
      <c r="F12" t="s">
        <v>199</v>
      </c>
      <c r="K12" t="s">
        <v>128</v>
      </c>
      <c r="L12" t="s">
        <v>170</v>
      </c>
    </row>
    <row r="13" spans="1:12" x14ac:dyDescent="0.45">
      <c r="A13" t="s">
        <v>31</v>
      </c>
      <c r="B13">
        <f t="shared" si="1"/>
        <v>12</v>
      </c>
      <c r="C13" s="9">
        <f t="shared" si="4"/>
        <v>46102</v>
      </c>
      <c r="D13" t="s">
        <v>128</v>
      </c>
      <c r="E13" t="str">
        <f t="shared" si="3"/>
        <v>Circuit Zandvoort</v>
      </c>
      <c r="F13" t="s">
        <v>199</v>
      </c>
      <c r="K13" t="s">
        <v>192</v>
      </c>
      <c r="L13" t="s">
        <v>193</v>
      </c>
    </row>
    <row r="14" spans="1:12" x14ac:dyDescent="0.45">
      <c r="A14" t="s">
        <v>31</v>
      </c>
      <c r="B14">
        <f t="shared" si="1"/>
        <v>13</v>
      </c>
      <c r="C14" s="9">
        <f t="shared" si="4"/>
        <v>46109</v>
      </c>
      <c r="D14" t="s">
        <v>171</v>
      </c>
      <c r="E14" t="str">
        <f t="shared" si="3"/>
        <v>Autodromo Nazionale Monza</v>
      </c>
      <c r="F14" t="s">
        <v>199</v>
      </c>
      <c r="K14" t="s">
        <v>38</v>
      </c>
      <c r="L14" t="s">
        <v>162</v>
      </c>
    </row>
    <row r="15" spans="1:12" x14ac:dyDescent="0.45">
      <c r="A15" t="s">
        <v>31</v>
      </c>
      <c r="B15">
        <f t="shared" si="1"/>
        <v>14</v>
      </c>
      <c r="C15" s="9">
        <f t="shared" si="4"/>
        <v>46116</v>
      </c>
      <c r="D15" t="s">
        <v>122</v>
      </c>
      <c r="E15" t="str">
        <f t="shared" si="3"/>
        <v>Baku City Circuit</v>
      </c>
      <c r="F15" t="s">
        <v>199</v>
      </c>
      <c r="K15" t="s">
        <v>125</v>
      </c>
      <c r="L15" t="s">
        <v>188</v>
      </c>
    </row>
    <row r="16" spans="1:12" x14ac:dyDescent="0.45">
      <c r="A16" t="s">
        <v>31</v>
      </c>
      <c r="B16">
        <f t="shared" si="1"/>
        <v>15</v>
      </c>
      <c r="C16" s="9">
        <f t="shared" si="4"/>
        <v>46123</v>
      </c>
      <c r="D16" t="s">
        <v>174</v>
      </c>
      <c r="E16" t="str">
        <f t="shared" si="3"/>
        <v>Marina Bay Street Circuit</v>
      </c>
      <c r="F16" t="s">
        <v>199</v>
      </c>
      <c r="K16" t="s">
        <v>127</v>
      </c>
      <c r="L16" t="s">
        <v>168</v>
      </c>
    </row>
    <row r="17" spans="1:12" x14ac:dyDescent="0.45">
      <c r="A17" t="s">
        <v>31</v>
      </c>
      <c r="B17">
        <f t="shared" si="1"/>
        <v>16</v>
      </c>
      <c r="C17" s="9">
        <f t="shared" si="4"/>
        <v>46130</v>
      </c>
      <c r="D17" t="s">
        <v>120</v>
      </c>
      <c r="E17" t="str">
        <f t="shared" si="3"/>
        <v>Circuit of the Americas</v>
      </c>
      <c r="F17" t="s">
        <v>199</v>
      </c>
      <c r="K17" t="s">
        <v>171</v>
      </c>
      <c r="L17" t="s">
        <v>172</v>
      </c>
    </row>
    <row r="18" spans="1:12" x14ac:dyDescent="0.45">
      <c r="A18" t="s">
        <v>31</v>
      </c>
      <c r="B18">
        <f t="shared" si="1"/>
        <v>17</v>
      </c>
      <c r="C18" s="9">
        <f t="shared" si="4"/>
        <v>46137</v>
      </c>
      <c r="D18" t="s">
        <v>177</v>
      </c>
      <c r="E18" t="str">
        <f t="shared" si="3"/>
        <v>Autódromo Hermanos Rodríguez</v>
      </c>
      <c r="F18" t="s">
        <v>199</v>
      </c>
      <c r="K18" t="s">
        <v>17</v>
      </c>
      <c r="L18" t="s">
        <v>161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46144</v>
      </c>
      <c r="D19" t="s">
        <v>115</v>
      </c>
      <c r="E19" t="str">
        <f t="shared" si="3"/>
        <v>Albert Park Circuit</v>
      </c>
      <c r="F19" t="s">
        <v>199</v>
      </c>
      <c r="K19" t="s">
        <v>118</v>
      </c>
      <c r="L19" t="s">
        <v>184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46151</v>
      </c>
      <c r="D20" t="s">
        <v>117</v>
      </c>
      <c r="E20" t="str">
        <f t="shared" si="3"/>
        <v>Shanghai International Circuit</v>
      </c>
      <c r="F20" t="s">
        <v>199</v>
      </c>
      <c r="K20" t="s">
        <v>177</v>
      </c>
      <c r="L20" t="s">
        <v>178</v>
      </c>
    </row>
    <row r="21" spans="1:12" x14ac:dyDescent="0.45">
      <c r="A21" t="s">
        <v>31</v>
      </c>
      <c r="B21">
        <f t="shared" si="1"/>
        <v>20</v>
      </c>
      <c r="C21" s="9">
        <f t="shared" si="4"/>
        <v>46158</v>
      </c>
      <c r="D21" t="s">
        <v>16</v>
      </c>
      <c r="E21" t="str">
        <f t="shared" si="3"/>
        <v>Jeddah Corniche Circuit</v>
      </c>
      <c r="F21" t="s">
        <v>199</v>
      </c>
      <c r="K21" t="s">
        <v>20</v>
      </c>
      <c r="L21" t="s">
        <v>183</v>
      </c>
    </row>
    <row r="22" spans="1:12" x14ac:dyDescent="0.45">
      <c r="A22" t="s">
        <v>31</v>
      </c>
      <c r="B22">
        <f t="shared" si="1"/>
        <v>21</v>
      </c>
      <c r="C22" s="9">
        <f t="shared" si="4"/>
        <v>46165</v>
      </c>
      <c r="D22" t="s">
        <v>179</v>
      </c>
      <c r="E22" t="str">
        <f t="shared" si="3"/>
        <v>Autódromo José Carlos Pace (Interlagos)</v>
      </c>
      <c r="F22" t="s">
        <v>199</v>
      </c>
      <c r="K22" t="s">
        <v>124</v>
      </c>
      <c r="L22" t="s">
        <v>163</v>
      </c>
    </row>
    <row r="23" spans="1:12" x14ac:dyDescent="0.45">
      <c r="A23" t="s">
        <v>31</v>
      </c>
      <c r="B23">
        <f t="shared" si="1"/>
        <v>22</v>
      </c>
      <c r="C23" s="9">
        <f t="shared" si="4"/>
        <v>46172</v>
      </c>
      <c r="D23" t="s">
        <v>118</v>
      </c>
      <c r="E23" t="str">
        <f t="shared" si="3"/>
        <v>Las Vegas Strip Circuit</v>
      </c>
      <c r="F23" t="s">
        <v>199</v>
      </c>
      <c r="K23" t="s">
        <v>123</v>
      </c>
      <c r="L23" t="s">
        <v>185</v>
      </c>
    </row>
    <row r="24" spans="1:12" x14ac:dyDescent="0.45">
      <c r="A24" t="s">
        <v>31</v>
      </c>
      <c r="B24">
        <f t="shared" si="1"/>
        <v>23</v>
      </c>
      <c r="C24" s="9">
        <f t="shared" si="4"/>
        <v>46179</v>
      </c>
      <c r="D24" t="s">
        <v>121</v>
      </c>
      <c r="E24" t="str">
        <f t="shared" si="3"/>
        <v>Lusail International Circuit</v>
      </c>
      <c r="F24" t="s">
        <v>199</v>
      </c>
      <c r="K24" t="s">
        <v>121</v>
      </c>
      <c r="L24" t="s">
        <v>182</v>
      </c>
    </row>
    <row r="25" spans="1:12" x14ac:dyDescent="0.45">
      <c r="A25" t="s">
        <v>31</v>
      </c>
      <c r="B25">
        <f t="shared" si="1"/>
        <v>24</v>
      </c>
      <c r="C25" s="9">
        <f t="shared" si="4"/>
        <v>46186</v>
      </c>
      <c r="D25" t="s">
        <v>129</v>
      </c>
      <c r="E25" t="str">
        <f t="shared" si="3"/>
        <v>Yas Marina Circuit</v>
      </c>
      <c r="F25" t="s">
        <v>199</v>
      </c>
      <c r="K25" t="s">
        <v>191</v>
      </c>
      <c r="L25" t="s">
        <v>158</v>
      </c>
    </row>
    <row r="26" spans="1:12" x14ac:dyDescent="0.45">
      <c r="K26" t="s">
        <v>179</v>
      </c>
      <c r="L26" t="s">
        <v>180</v>
      </c>
    </row>
    <row r="27" spans="1:12" x14ac:dyDescent="0.45">
      <c r="K27" t="s">
        <v>16</v>
      </c>
      <c r="L27" t="s">
        <v>159</v>
      </c>
    </row>
    <row r="28" spans="1:12" x14ac:dyDescent="0.45">
      <c r="K28" t="s">
        <v>174</v>
      </c>
      <c r="L28" t="s">
        <v>175</v>
      </c>
    </row>
    <row r="29" spans="1:12" x14ac:dyDescent="0.45">
      <c r="K29" t="s">
        <v>116</v>
      </c>
      <c r="L29" t="s">
        <v>165</v>
      </c>
    </row>
    <row r="30" spans="1:12" x14ac:dyDescent="0.45">
      <c r="K30" t="s">
        <v>189</v>
      </c>
      <c r="L30" t="s">
        <v>166</v>
      </c>
    </row>
    <row r="31" spans="1:12" x14ac:dyDescent="0.45">
      <c r="K31" t="s">
        <v>186</v>
      </c>
      <c r="L31" t="s">
        <v>187</v>
      </c>
    </row>
    <row r="32" spans="1:12" x14ac:dyDescent="0.45">
      <c r="K32" t="s">
        <v>194</v>
      </c>
      <c r="L32" t="s">
        <v>195</v>
      </c>
    </row>
    <row r="33" spans="11:12" x14ac:dyDescent="0.45">
      <c r="K33" t="s">
        <v>120</v>
      </c>
      <c r="L33" t="s">
        <v>176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2:I315"/>
  <sheetViews>
    <sheetView workbookViewId="0">
      <selection activeCell="E36" sqref="E36"/>
    </sheetView>
  </sheetViews>
  <sheetFormatPr defaultRowHeight="14.25" x14ac:dyDescent="0.45"/>
  <cols>
    <col min="1" max="2" width="17.265625" bestFit="1" customWidth="1"/>
    <col min="3" max="3" width="5.19921875" bestFit="1" customWidth="1"/>
    <col min="4" max="4" width="12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2" spans="1:3" x14ac:dyDescent="0.45">
      <c r="A2" s="5" t="s">
        <v>28</v>
      </c>
      <c r="B2" t="s">
        <v>112</v>
      </c>
    </row>
    <row r="3" spans="1:3" x14ac:dyDescent="0.45">
      <c r="A3" s="5" t="s">
        <v>23</v>
      </c>
      <c r="B3" t="s">
        <v>112</v>
      </c>
    </row>
    <row r="4" spans="1:3" x14ac:dyDescent="0.45">
      <c r="A4" s="5" t="s">
        <v>22</v>
      </c>
      <c r="B4" t="s">
        <v>112</v>
      </c>
    </row>
    <row r="5" spans="1:3" x14ac:dyDescent="0.45">
      <c r="A5" s="5" t="s">
        <v>24</v>
      </c>
      <c r="B5" t="s">
        <v>31</v>
      </c>
    </row>
    <row r="6" spans="1:3" x14ac:dyDescent="0.45">
      <c r="A6" s="5" t="s">
        <v>29</v>
      </c>
      <c r="B6" t="s">
        <v>112</v>
      </c>
    </row>
    <row r="7" spans="1:3" x14ac:dyDescent="0.45">
      <c r="A7" s="5" t="s">
        <v>27</v>
      </c>
      <c r="B7" t="s">
        <v>112</v>
      </c>
    </row>
    <row r="9" spans="1:3" x14ac:dyDescent="0.45">
      <c r="A9" s="5" t="s">
        <v>113</v>
      </c>
    </row>
    <row r="10" spans="1:3" x14ac:dyDescent="0.45">
      <c r="A10" s="5" t="s">
        <v>25</v>
      </c>
      <c r="B10" s="5" t="s">
        <v>26</v>
      </c>
      <c r="C10" t="s">
        <v>154</v>
      </c>
    </row>
    <row r="11" spans="1:3" x14ac:dyDescent="0.45">
      <c r="A11">
        <v>1</v>
      </c>
      <c r="B11" t="s">
        <v>18</v>
      </c>
      <c r="C11">
        <v>101</v>
      </c>
    </row>
    <row r="12" spans="1:3" x14ac:dyDescent="0.45">
      <c r="A12">
        <v>2</v>
      </c>
      <c r="B12" t="s">
        <v>19</v>
      </c>
      <c r="C12">
        <v>101</v>
      </c>
    </row>
    <row r="13" spans="1:3" x14ac:dyDescent="0.45">
      <c r="A13">
        <v>3</v>
      </c>
      <c r="B13" t="s">
        <v>17</v>
      </c>
      <c r="C13">
        <v>101</v>
      </c>
    </row>
    <row r="14" spans="1:3" x14ac:dyDescent="0.45">
      <c r="A14">
        <v>4</v>
      </c>
      <c r="B14" t="s">
        <v>15</v>
      </c>
      <c r="C14">
        <v>101</v>
      </c>
    </row>
    <row r="15" spans="1:3" x14ac:dyDescent="0.45">
      <c r="A15">
        <v>5</v>
      </c>
      <c r="B15" t="s">
        <v>16</v>
      </c>
      <c r="C15">
        <v>101</v>
      </c>
    </row>
    <row r="16" spans="1:3" x14ac:dyDescent="0.45">
      <c r="A16">
        <v>6</v>
      </c>
      <c r="B16" t="s">
        <v>20</v>
      </c>
      <c r="C16">
        <v>101</v>
      </c>
    </row>
    <row r="17" spans="1:3" x14ac:dyDescent="0.45">
      <c r="A17">
        <v>7</v>
      </c>
      <c r="B17" t="s">
        <v>38</v>
      </c>
      <c r="C17">
        <v>101</v>
      </c>
    </row>
    <row r="18" spans="1:3" x14ac:dyDescent="0.45">
      <c r="A18" t="s">
        <v>111</v>
      </c>
      <c r="C18">
        <v>707</v>
      </c>
    </row>
    <row r="66" spans="7:7" x14ac:dyDescent="0.45">
      <c r="G66" t="s">
        <v>151</v>
      </c>
    </row>
    <row r="313" spans="7:9" x14ac:dyDescent="0.45">
      <c r="G313" t="s">
        <v>34</v>
      </c>
      <c r="H313" t="s">
        <v>141</v>
      </c>
    </row>
    <row r="314" spans="7:9" x14ac:dyDescent="0.45">
      <c r="G314" t="s">
        <v>148</v>
      </c>
      <c r="H314" t="s">
        <v>137</v>
      </c>
    </row>
    <row r="315" spans="7:9" x14ac:dyDescent="0.45">
      <c r="G315" t="s">
        <v>33</v>
      </c>
      <c r="H315" t="s">
        <v>149</v>
      </c>
      <c r="I315" t="s">
        <v>150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155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2026-02-22T09:09:14Z</dcterms:modified>
</cp:coreProperties>
</file>