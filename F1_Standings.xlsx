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226" documentId="13_ncr:1_{546CA201-7B2D-4523-9F6A-9ED9E409A803}" xr6:coauthVersionLast="47" xr6:coauthVersionMax="47" xr10:uidLastSave="{FCAFB243-1AD3-4970-83B7-71B28E32C6B1}"/>
  <bookViews>
    <workbookView xWindow="-98" yWindow="-98" windowWidth="21795" windowHeight="13875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27" i="10" l="1"/>
  <c r="G1526" i="10"/>
  <c r="G1525" i="10"/>
  <c r="G1524" i="10"/>
  <c r="G1523" i="10"/>
  <c r="G1522" i="10"/>
  <c r="G1521" i="10"/>
  <c r="G1520" i="10"/>
  <c r="G1519" i="10"/>
  <c r="G1518" i="10"/>
  <c r="G1517" i="10"/>
  <c r="G1516" i="10"/>
  <c r="G1515" i="10"/>
  <c r="G1514" i="10"/>
  <c r="G1513" i="10"/>
  <c r="G1512" i="10"/>
  <c r="G1511" i="10"/>
  <c r="G1510" i="10"/>
  <c r="G1509" i="10"/>
  <c r="G1508" i="10"/>
  <c r="G1507" i="10"/>
  <c r="G1506" i="10"/>
  <c r="G1505" i="10"/>
  <c r="G1504" i="10"/>
  <c r="G1503" i="10"/>
  <c r="G1502" i="10"/>
  <c r="G1501" i="10"/>
  <c r="G1500" i="10"/>
  <c r="G1499" i="10"/>
  <c r="G1498" i="10"/>
  <c r="G1497" i="10"/>
  <c r="G1496" i="10"/>
  <c r="G1495" i="10"/>
  <c r="G1494" i="10"/>
  <c r="G1493" i="10"/>
  <c r="G1492" i="10"/>
  <c r="G1491" i="10"/>
  <c r="G1490" i="10"/>
  <c r="G1489" i="10"/>
  <c r="G1488" i="10"/>
  <c r="G1487" i="10"/>
  <c r="G1486" i="10"/>
  <c r="G1485" i="10"/>
  <c r="G1484" i="10"/>
  <c r="G1483" i="10"/>
  <c r="G1482" i="10"/>
  <c r="G1481" i="10"/>
  <c r="G1480" i="10"/>
  <c r="G1479" i="10"/>
  <c r="G1478" i="10"/>
  <c r="G1477" i="10"/>
  <c r="G1476" i="10"/>
  <c r="G1475" i="10"/>
  <c r="G1474" i="10"/>
  <c r="G1473" i="10"/>
  <c r="G1472" i="10"/>
  <c r="G1471" i="10"/>
  <c r="G1470" i="10"/>
  <c r="G1469" i="10"/>
  <c r="G1468" i="10"/>
  <c r="G1467" i="10"/>
  <c r="G1466" i="10"/>
  <c r="G1465" i="10"/>
  <c r="G1464" i="10"/>
  <c r="G1463" i="10"/>
  <c r="G1462" i="10"/>
  <c r="G1461" i="10"/>
  <c r="G1460" i="10"/>
  <c r="G1459" i="10"/>
  <c r="G1458" i="10"/>
  <c r="G1457" i="10"/>
  <c r="G1456" i="10"/>
  <c r="G1455" i="10"/>
  <c r="G1454" i="10"/>
  <c r="G1453" i="10"/>
  <c r="G1452" i="10"/>
  <c r="G1451" i="10"/>
  <c r="G1450" i="10"/>
  <c r="G1449" i="10"/>
  <c r="G1448" i="10"/>
  <c r="G1447" i="10"/>
  <c r="G1446" i="10"/>
  <c r="G1445" i="10"/>
  <c r="G1444" i="10"/>
  <c r="G1443" i="10"/>
  <c r="G1442" i="10"/>
  <c r="G1441" i="10"/>
  <c r="G1440" i="10"/>
  <c r="G1439" i="10"/>
  <c r="G1438" i="10"/>
  <c r="G1437" i="10"/>
  <c r="G1436" i="10"/>
  <c r="G1435" i="10"/>
  <c r="G1434" i="10"/>
  <c r="G1433" i="10"/>
  <c r="G1432" i="10"/>
  <c r="G1431" i="10"/>
  <c r="G1430" i="10"/>
  <c r="G1429" i="10"/>
  <c r="G1428" i="10"/>
  <c r="G1427" i="10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3" i="13"/>
  <c r="B4" i="13" s="1"/>
  <c r="B5" i="13" s="1"/>
  <c r="B6" i="13" s="1"/>
  <c r="B7" i="13" s="1"/>
  <c r="B8" i="13" s="1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8" i="13"/>
  <c r="E7" i="13"/>
  <c r="E6" i="13"/>
  <c r="E5" i="13"/>
  <c r="E4" i="13"/>
  <c r="E3" i="13"/>
  <c r="E2" i="13"/>
  <c r="C16" i="13" l="1"/>
  <c r="C17" i="13" s="1"/>
  <c r="C18" i="13" s="1"/>
  <c r="C19" i="13" s="1"/>
  <c r="C20" i="13" s="1"/>
  <c r="C21" i="13" s="1"/>
  <c r="C22" i="13" s="1"/>
  <c r="C23" i="13" s="1"/>
  <c r="C24" i="13" s="1"/>
</calcChain>
</file>

<file path=xl/sharedStrings.xml><?xml version="1.0" encoding="utf-8"?>
<sst xmlns="http://schemas.openxmlformats.org/spreadsheetml/2006/main" count="16318" uniqueCount="199">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</sst>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138.433383449075" createdVersion="8" refreshedVersion="8" minRefreshableVersion="3" recordCount="1506" xr:uid="{28380183-4CCD-407F-B6E7-6E7D77FDDC36}">
  <cacheSource type="worksheet">
    <worksheetSource ref="A1:I15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6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25"/>
    <x v="2"/>
    <x v="4"/>
    <x v="0"/>
    <n v="25"/>
  </r>
  <r>
    <x v="5"/>
    <x v="28"/>
    <x v="26"/>
    <x v="12"/>
    <x v="25"/>
    <x v="0"/>
    <x v="11"/>
    <x v="10"/>
    <n v="18"/>
  </r>
  <r>
    <x v="5"/>
    <x v="28"/>
    <x v="26"/>
    <x v="12"/>
    <x v="25"/>
    <x v="1"/>
    <x v="6"/>
    <x v="6"/>
    <n v="15"/>
  </r>
  <r>
    <x v="5"/>
    <x v="28"/>
    <x v="26"/>
    <x v="12"/>
    <x v="25"/>
    <x v="6"/>
    <x v="3"/>
    <x v="1"/>
    <n v="12"/>
  </r>
  <r>
    <x v="5"/>
    <x v="28"/>
    <x v="26"/>
    <x v="12"/>
    <x v="25"/>
    <x v="28"/>
    <x v="10"/>
    <x v="13"/>
    <n v="10"/>
  </r>
  <r>
    <x v="5"/>
    <x v="28"/>
    <x v="26"/>
    <x v="12"/>
    <x v="25"/>
    <x v="18"/>
    <x v="2"/>
    <x v="11"/>
    <n v="8"/>
  </r>
  <r>
    <x v="5"/>
    <x v="28"/>
    <x v="26"/>
    <x v="12"/>
    <x v="25"/>
    <x v="8"/>
    <x v="3"/>
    <x v="12"/>
    <n v="6"/>
  </r>
  <r>
    <x v="5"/>
    <x v="28"/>
    <x v="26"/>
    <x v="12"/>
    <x v="25"/>
    <x v="14"/>
    <x v="4"/>
    <x v="2"/>
    <n v="4"/>
  </r>
  <r>
    <x v="5"/>
    <x v="28"/>
    <x v="26"/>
    <x v="12"/>
    <x v="25"/>
    <x v="15"/>
    <x v="10"/>
    <x v="8"/>
    <n v="2"/>
  </r>
  <r>
    <x v="5"/>
    <x v="28"/>
    <x v="26"/>
    <x v="12"/>
    <x v="25"/>
    <x v="35"/>
    <x v="12"/>
    <x v="14"/>
    <n v="1"/>
  </r>
  <r>
    <x v="5"/>
    <x v="28"/>
    <x v="26"/>
    <x v="12"/>
    <x v="25"/>
    <x v="5"/>
    <x v="6"/>
    <x v="15"/>
    <n v="0"/>
  </r>
  <r>
    <x v="5"/>
    <x v="28"/>
    <x v="26"/>
    <x v="12"/>
    <x v="25"/>
    <x v="24"/>
    <x v="9"/>
    <x v="9"/>
    <n v="0"/>
  </r>
  <r>
    <x v="5"/>
    <x v="28"/>
    <x v="26"/>
    <x v="12"/>
    <x v="25"/>
    <x v="19"/>
    <x v="2"/>
    <x v="7"/>
    <n v="0"/>
  </r>
  <r>
    <x v="5"/>
    <x v="28"/>
    <x v="26"/>
    <x v="12"/>
    <x v="25"/>
    <x v="17"/>
    <x v="1"/>
    <x v="16"/>
    <n v="0"/>
  </r>
  <r>
    <x v="5"/>
    <x v="28"/>
    <x v="26"/>
    <x v="12"/>
    <x v="25"/>
    <x v="13"/>
    <x v="11"/>
    <x v="17"/>
    <n v="0"/>
  </r>
  <r>
    <x v="5"/>
    <x v="28"/>
    <x v="26"/>
    <x v="12"/>
    <x v="25"/>
    <x v="36"/>
    <x v="1"/>
    <x v="18"/>
    <n v="0"/>
  </r>
  <r>
    <x v="5"/>
    <x v="28"/>
    <x v="26"/>
    <x v="12"/>
    <x v="25"/>
    <x v="33"/>
    <x v="7"/>
    <x v="19"/>
    <n v="0"/>
  </r>
  <r>
    <x v="5"/>
    <x v="28"/>
    <x v="26"/>
    <x v="12"/>
    <x v="25"/>
    <x v="34"/>
    <x v="7"/>
    <x v="3"/>
    <n v="0"/>
  </r>
  <r>
    <x v="5"/>
    <x v="28"/>
    <x v="26"/>
    <x v="12"/>
    <x v="25"/>
    <x v="30"/>
    <x v="12"/>
    <x v="4"/>
    <n v="0"/>
  </r>
  <r>
    <x v="5"/>
    <x v="28"/>
    <x v="26"/>
    <x v="12"/>
    <x v="25"/>
    <x v="26"/>
    <x v="9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7F2A65-0694-44FA-828C-1177D65C622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7" firstHeaderRow="2" firstDataRow="2" firstDataCol="3" rowPageCount="5" colPageCount="1"/>
  <pivotFields count="9">
    <pivotField axis="axisRow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Row" compact="0" outline="0" multipleItemSelectionAllowed="1" showAll="0" defaultSubtotal="0">
      <items count="27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</items>
    </pivotField>
    <pivotField axis="axisPage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Page" compact="0" outline="0" multipleItemSelectionAllowed="1" showAll="0" defaultSubtotal="0">
      <items count="26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</items>
    </pivotField>
    <pivotField axis="axisRow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3">
    <field x="2"/>
    <field x="0"/>
    <field x="5"/>
  </rowFields>
  <rowItems count="316">
    <i>
      <x/>
      <x v="5"/>
      <x v="34"/>
    </i>
    <i r="2">
      <x v="19"/>
    </i>
    <i r="2">
      <x v="8"/>
    </i>
    <i r="2">
      <x v="22"/>
    </i>
    <i r="2">
      <x v="28"/>
    </i>
    <i r="2">
      <x v="18"/>
    </i>
    <i r="2">
      <x v="30"/>
    </i>
    <i r="2">
      <x v="9"/>
    </i>
    <i r="2">
      <x v="4"/>
    </i>
    <i r="2">
      <x v="11"/>
    </i>
    <i r="2">
      <x v="10"/>
    </i>
    <i r="2">
      <x v="3"/>
    </i>
    <i r="2">
      <x v="7"/>
    </i>
    <i r="2">
      <x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N4772"/>
  <sheetViews>
    <sheetView tabSelected="1" workbookViewId="0">
      <pane ySplit="1" topLeftCell="A1502" activePane="bottomLeft" state="frozen"/>
      <selection pane="bottomLeft" activeCell="L1513" sqref="L1513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7.86328125" customWidth="1"/>
    <col min="11" max="11" width="12" customWidth="1"/>
    <col min="12" max="12" width="14.3984375" bestFit="1" customWidth="1"/>
  </cols>
  <sheetData>
    <row r="1" spans="1:11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  <c r="J1" t="s">
        <v>197</v>
      </c>
      <c r="K1" t="s">
        <v>198</v>
      </c>
    </row>
    <row r="2" spans="1:11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11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11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11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11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11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11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11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11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11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11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11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11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11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11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149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149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149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149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149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149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150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150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150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150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150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150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4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4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4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4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4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4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4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4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4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4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4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4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4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4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4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4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 t="shared" ref="G1408:G1471" si="0">VLOOKUP(F1408,$M$1408:$N$1427,2,FALSE)</f>
        <v>Alpine</v>
      </c>
      <c r="H1408">
        <v>1</v>
      </c>
      <c r="I1408">
        <v>25</v>
      </c>
      <c r="M1408" t="s">
        <v>1</v>
      </c>
      <c r="N1408" t="s">
        <v>138</v>
      </c>
    </row>
    <row r="1409" spans="1:14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 t="shared" si="0"/>
        <v>Mercedes</v>
      </c>
      <c r="H1409">
        <v>2</v>
      </c>
      <c r="I1409">
        <v>18</v>
      </c>
      <c r="M1409" t="s">
        <v>3</v>
      </c>
      <c r="N1409" t="s">
        <v>146</v>
      </c>
    </row>
    <row r="1410" spans="1:14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 t="shared" si="0"/>
        <v>Kick Sauber</v>
      </c>
      <c r="H1410">
        <v>3</v>
      </c>
      <c r="I1410">
        <v>15</v>
      </c>
      <c r="M1410" t="s">
        <v>2</v>
      </c>
      <c r="N1410" t="s">
        <v>141</v>
      </c>
    </row>
    <row r="1411" spans="1:14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 t="shared" si="0"/>
        <v>Williams</v>
      </c>
      <c r="H1411">
        <v>4</v>
      </c>
      <c r="I1411">
        <v>12</v>
      </c>
      <c r="M1411" t="s">
        <v>4</v>
      </c>
      <c r="N1411" t="s">
        <v>137</v>
      </c>
    </row>
    <row r="1412" spans="1:14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 t="shared" si="0"/>
        <v>Ferrari</v>
      </c>
      <c r="H1412">
        <v>5</v>
      </c>
      <c r="I1412">
        <v>10</v>
      </c>
      <c r="M1412" t="s">
        <v>7</v>
      </c>
      <c r="N1412" t="s">
        <v>146</v>
      </c>
    </row>
    <row r="1413" spans="1:14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 t="shared" si="0"/>
        <v>McLaren</v>
      </c>
      <c r="H1413">
        <v>6</v>
      </c>
      <c r="I1413">
        <v>8</v>
      </c>
      <c r="M1413" t="s">
        <v>0</v>
      </c>
      <c r="N1413" t="s">
        <v>141</v>
      </c>
    </row>
    <row r="1414" spans="1:14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 t="shared" si="0"/>
        <v>Aston Martin</v>
      </c>
      <c r="H1414">
        <v>7</v>
      </c>
      <c r="I1414">
        <v>6</v>
      </c>
      <c r="M1414" t="s">
        <v>34</v>
      </c>
      <c r="N1414" t="s">
        <v>137</v>
      </c>
    </row>
    <row r="1415" spans="1:14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 t="shared" si="0"/>
        <v>Ferrari</v>
      </c>
      <c r="H1415">
        <v>8</v>
      </c>
      <c r="I1415">
        <v>4</v>
      </c>
      <c r="M1415" t="s">
        <v>6</v>
      </c>
      <c r="N1415" t="s">
        <v>136</v>
      </c>
    </row>
    <row r="1416" spans="1:14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 t="shared" si="0"/>
        <v>Mercedes</v>
      </c>
      <c r="H1416">
        <v>9</v>
      </c>
      <c r="I1416">
        <v>2</v>
      </c>
      <c r="M1416" t="s">
        <v>36</v>
      </c>
      <c r="N1416" t="s">
        <v>147</v>
      </c>
    </row>
    <row r="1417" spans="1:14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 t="shared" si="0"/>
        <v>Red Bull</v>
      </c>
      <c r="H1417">
        <v>10</v>
      </c>
      <c r="I1417">
        <v>1</v>
      </c>
      <c r="M1417" t="s">
        <v>8</v>
      </c>
      <c r="N1417" t="s">
        <v>143</v>
      </c>
    </row>
    <row r="1418" spans="1:14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7</v>
      </c>
      <c r="G1418" t="str">
        <f t="shared" si="0"/>
        <v>McLaren</v>
      </c>
      <c r="H1418">
        <v>11</v>
      </c>
      <c r="I1418">
        <v>0</v>
      </c>
      <c r="M1418" t="s">
        <v>12</v>
      </c>
      <c r="N1418" t="s">
        <v>142</v>
      </c>
    </row>
    <row r="1419" spans="1:14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12</v>
      </c>
      <c r="G1419" t="str">
        <f t="shared" si="0"/>
        <v>Williams</v>
      </c>
      <c r="H1419">
        <v>12</v>
      </c>
      <c r="I1419">
        <v>0</v>
      </c>
      <c r="M1419" t="s">
        <v>35</v>
      </c>
      <c r="N1419" t="s">
        <v>145</v>
      </c>
    </row>
    <row r="1420" spans="1:14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11</v>
      </c>
      <c r="G1420" t="str">
        <f t="shared" si="0"/>
        <v>Aston Martin</v>
      </c>
      <c r="H1420">
        <v>13</v>
      </c>
      <c r="I1420">
        <v>0</v>
      </c>
      <c r="M1420" t="s">
        <v>32</v>
      </c>
      <c r="N1420" t="s">
        <v>143</v>
      </c>
    </row>
    <row r="1421" spans="1:14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9</v>
      </c>
      <c r="G1421" t="str">
        <f t="shared" si="0"/>
        <v>Haas</v>
      </c>
      <c r="H1421">
        <v>14</v>
      </c>
      <c r="I1421">
        <v>0</v>
      </c>
      <c r="M1421" t="s">
        <v>13</v>
      </c>
      <c r="N1421" t="s">
        <v>147</v>
      </c>
    </row>
    <row r="1422" spans="1:14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13</v>
      </c>
      <c r="G1422" t="str">
        <f t="shared" si="0"/>
        <v>Racing Bulls</v>
      </c>
      <c r="H1422">
        <v>15</v>
      </c>
      <c r="I1422">
        <v>0</v>
      </c>
      <c r="M1422" t="s">
        <v>5</v>
      </c>
      <c r="N1422" t="s">
        <v>142</v>
      </c>
    </row>
    <row r="1423" spans="1:14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14</v>
      </c>
      <c r="G1423" t="str">
        <f t="shared" si="0"/>
        <v>Haas</v>
      </c>
      <c r="H1423">
        <v>16</v>
      </c>
      <c r="I1423">
        <v>0</v>
      </c>
      <c r="M1423" t="s">
        <v>9</v>
      </c>
      <c r="N1423" t="s">
        <v>140</v>
      </c>
    </row>
    <row r="1424" spans="1:14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 t="shared" si="0"/>
        <v>Racing Bulls</v>
      </c>
      <c r="H1424">
        <v>17</v>
      </c>
      <c r="I1424">
        <v>0</v>
      </c>
      <c r="M1424" t="s">
        <v>11</v>
      </c>
      <c r="N1424" t="s">
        <v>136</v>
      </c>
    </row>
    <row r="1425" spans="1:14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1</v>
      </c>
      <c r="G1425" t="str">
        <f t="shared" si="0"/>
        <v>Red Bull</v>
      </c>
      <c r="H1425">
        <v>18</v>
      </c>
      <c r="I1425">
        <v>0</v>
      </c>
      <c r="M1425" t="s">
        <v>33</v>
      </c>
      <c r="N1425" t="s">
        <v>138</v>
      </c>
    </row>
    <row r="1426" spans="1:14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 t="shared" si="0"/>
        <v>Kick Sauber</v>
      </c>
      <c r="H1426">
        <v>19</v>
      </c>
      <c r="I1426">
        <v>0</v>
      </c>
      <c r="M1426" t="s">
        <v>10</v>
      </c>
      <c r="N1426" t="s">
        <v>145</v>
      </c>
    </row>
    <row r="1427" spans="1:14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8</v>
      </c>
      <c r="G1427" t="str">
        <f t="shared" si="0"/>
        <v>Alpine</v>
      </c>
      <c r="H1427">
        <v>20</v>
      </c>
      <c r="I1427">
        <v>0</v>
      </c>
      <c r="M1427" t="s">
        <v>14</v>
      </c>
      <c r="N1427" t="s">
        <v>140</v>
      </c>
    </row>
    <row r="1428" spans="1:14" x14ac:dyDescent="0.45">
      <c r="A1428" t="s">
        <v>30</v>
      </c>
      <c r="B1428" t="s">
        <v>109</v>
      </c>
      <c r="C1428" t="s">
        <v>31</v>
      </c>
      <c r="D1428">
        <v>9</v>
      </c>
      <c r="E1428" t="s">
        <v>119</v>
      </c>
      <c r="F1428" t="s">
        <v>32</v>
      </c>
      <c r="G1428" t="str">
        <f t="shared" si="0"/>
        <v>Alpine</v>
      </c>
      <c r="H1428">
        <v>1</v>
      </c>
      <c r="I1428">
        <v>25</v>
      </c>
    </row>
    <row r="1429" spans="1:14" x14ac:dyDescent="0.45">
      <c r="A1429" t="s">
        <v>30</v>
      </c>
      <c r="B1429" t="s">
        <v>109</v>
      </c>
      <c r="C1429" t="s">
        <v>31</v>
      </c>
      <c r="D1429">
        <v>9</v>
      </c>
      <c r="E1429" t="s">
        <v>119</v>
      </c>
      <c r="F1429" t="s">
        <v>0</v>
      </c>
      <c r="G1429" t="str">
        <f t="shared" si="0"/>
        <v>Ferrari</v>
      </c>
      <c r="H1429">
        <v>2</v>
      </c>
      <c r="I1429">
        <v>18</v>
      </c>
    </row>
    <row r="1430" spans="1:14" x14ac:dyDescent="0.45">
      <c r="A1430" t="s">
        <v>30</v>
      </c>
      <c r="B1430" t="s">
        <v>109</v>
      </c>
      <c r="C1430" t="s">
        <v>31</v>
      </c>
      <c r="D1430">
        <v>9</v>
      </c>
      <c r="E1430" t="s">
        <v>119</v>
      </c>
      <c r="F1430" t="s">
        <v>33</v>
      </c>
      <c r="G1430" t="str">
        <f t="shared" si="0"/>
        <v>Red Bull</v>
      </c>
      <c r="H1430">
        <v>3</v>
      </c>
      <c r="I1430">
        <v>15</v>
      </c>
    </row>
    <row r="1431" spans="1:14" x14ac:dyDescent="0.45">
      <c r="A1431" t="s">
        <v>30</v>
      </c>
      <c r="B1431" t="s">
        <v>109</v>
      </c>
      <c r="C1431" t="s">
        <v>31</v>
      </c>
      <c r="D1431">
        <v>9</v>
      </c>
      <c r="E1431" t="s">
        <v>119</v>
      </c>
      <c r="F1431" t="s">
        <v>1</v>
      </c>
      <c r="G1431" t="str">
        <f t="shared" si="0"/>
        <v>Red Bull</v>
      </c>
      <c r="H1431">
        <v>4</v>
      </c>
      <c r="I1431">
        <v>12</v>
      </c>
    </row>
    <row r="1432" spans="1:14" x14ac:dyDescent="0.45">
      <c r="A1432" t="s">
        <v>30</v>
      </c>
      <c r="B1432" t="s">
        <v>109</v>
      </c>
      <c r="C1432" t="s">
        <v>31</v>
      </c>
      <c r="D1432">
        <v>9</v>
      </c>
      <c r="E1432" t="s">
        <v>119</v>
      </c>
      <c r="F1432" t="s">
        <v>7</v>
      </c>
      <c r="G1432" t="str">
        <f t="shared" si="0"/>
        <v>McLaren</v>
      </c>
      <c r="H1432">
        <v>5</v>
      </c>
      <c r="I1432">
        <v>10</v>
      </c>
    </row>
    <row r="1433" spans="1:14" x14ac:dyDescent="0.45">
      <c r="A1433" t="s">
        <v>30</v>
      </c>
      <c r="B1433" t="s">
        <v>109</v>
      </c>
      <c r="C1433" t="s">
        <v>31</v>
      </c>
      <c r="D1433">
        <v>9</v>
      </c>
      <c r="E1433" t="s">
        <v>119</v>
      </c>
      <c r="F1433" t="s">
        <v>34</v>
      </c>
      <c r="G1433" t="str">
        <f t="shared" si="0"/>
        <v>Mercedes</v>
      </c>
      <c r="H1433">
        <v>6</v>
      </c>
      <c r="I1433">
        <v>8</v>
      </c>
    </row>
    <row r="1434" spans="1:14" x14ac:dyDescent="0.45">
      <c r="A1434" t="s">
        <v>30</v>
      </c>
      <c r="B1434" t="s">
        <v>109</v>
      </c>
      <c r="C1434" t="s">
        <v>31</v>
      </c>
      <c r="D1434">
        <v>9</v>
      </c>
      <c r="E1434" t="s">
        <v>119</v>
      </c>
      <c r="F1434" t="s">
        <v>3</v>
      </c>
      <c r="G1434" t="str">
        <f t="shared" si="0"/>
        <v>McLaren</v>
      </c>
      <c r="H1434">
        <v>7</v>
      </c>
      <c r="I1434">
        <v>6</v>
      </c>
    </row>
    <row r="1435" spans="1:14" x14ac:dyDescent="0.45">
      <c r="A1435" t="s">
        <v>30</v>
      </c>
      <c r="B1435" t="s">
        <v>109</v>
      </c>
      <c r="C1435" t="s">
        <v>31</v>
      </c>
      <c r="D1435">
        <v>9</v>
      </c>
      <c r="E1435" t="s">
        <v>119</v>
      </c>
      <c r="F1435" t="s">
        <v>6</v>
      </c>
      <c r="G1435" t="str">
        <f t="shared" si="0"/>
        <v>Aston Martin</v>
      </c>
      <c r="H1435">
        <v>8</v>
      </c>
      <c r="I1435">
        <v>4</v>
      </c>
    </row>
    <row r="1436" spans="1:14" x14ac:dyDescent="0.45">
      <c r="A1436" t="s">
        <v>30</v>
      </c>
      <c r="B1436" t="s">
        <v>109</v>
      </c>
      <c r="C1436" t="s">
        <v>31</v>
      </c>
      <c r="D1436">
        <v>9</v>
      </c>
      <c r="E1436" t="s">
        <v>119</v>
      </c>
      <c r="F1436" t="s">
        <v>2</v>
      </c>
      <c r="G1436" t="str">
        <f t="shared" si="0"/>
        <v>Ferrari</v>
      </c>
      <c r="H1436">
        <v>9</v>
      </c>
      <c r="I1436">
        <v>2</v>
      </c>
    </row>
    <row r="1437" spans="1:14" x14ac:dyDescent="0.45">
      <c r="A1437" t="s">
        <v>30</v>
      </c>
      <c r="B1437" t="s">
        <v>109</v>
      </c>
      <c r="C1437" t="s">
        <v>31</v>
      </c>
      <c r="D1437">
        <v>9</v>
      </c>
      <c r="E1437" t="s">
        <v>119</v>
      </c>
      <c r="F1437" t="s">
        <v>9</v>
      </c>
      <c r="G1437" t="str">
        <f t="shared" si="0"/>
        <v>Haas</v>
      </c>
      <c r="H1437">
        <v>10</v>
      </c>
      <c r="I1437">
        <v>1</v>
      </c>
    </row>
    <row r="1438" spans="1:14" x14ac:dyDescent="0.45">
      <c r="A1438" t="s">
        <v>30</v>
      </c>
      <c r="B1438" t="s">
        <v>109</v>
      </c>
      <c r="C1438" t="s">
        <v>31</v>
      </c>
      <c r="D1438">
        <v>9</v>
      </c>
      <c r="E1438" t="s">
        <v>119</v>
      </c>
      <c r="F1438" t="s">
        <v>10</v>
      </c>
      <c r="G1438" t="str">
        <f t="shared" si="0"/>
        <v>Kick Sauber</v>
      </c>
      <c r="H1438">
        <v>11</v>
      </c>
      <c r="I1438">
        <v>0</v>
      </c>
    </row>
    <row r="1439" spans="1:14" x14ac:dyDescent="0.45">
      <c r="A1439" t="s">
        <v>30</v>
      </c>
      <c r="B1439" t="s">
        <v>109</v>
      </c>
      <c r="C1439" t="s">
        <v>31</v>
      </c>
      <c r="D1439">
        <v>9</v>
      </c>
      <c r="E1439" t="s">
        <v>119</v>
      </c>
      <c r="F1439" t="s">
        <v>35</v>
      </c>
      <c r="G1439" t="str">
        <f t="shared" si="0"/>
        <v>Kick Sauber</v>
      </c>
      <c r="H1439">
        <v>12</v>
      </c>
      <c r="I1439">
        <v>0</v>
      </c>
    </row>
    <row r="1440" spans="1:14" x14ac:dyDescent="0.45">
      <c r="A1440" t="s">
        <v>30</v>
      </c>
      <c r="B1440" t="s">
        <v>109</v>
      </c>
      <c r="C1440" t="s">
        <v>31</v>
      </c>
      <c r="D1440">
        <v>9</v>
      </c>
      <c r="E1440" t="s">
        <v>119</v>
      </c>
      <c r="F1440" t="s">
        <v>5</v>
      </c>
      <c r="G1440" t="str">
        <f t="shared" si="0"/>
        <v>Williams</v>
      </c>
      <c r="H1440">
        <v>13</v>
      </c>
      <c r="I1440">
        <v>0</v>
      </c>
    </row>
    <row r="1441" spans="1:9" x14ac:dyDescent="0.45">
      <c r="A1441" t="s">
        <v>30</v>
      </c>
      <c r="B1441" t="s">
        <v>109</v>
      </c>
      <c r="C1441" t="s">
        <v>31</v>
      </c>
      <c r="D1441">
        <v>9</v>
      </c>
      <c r="E1441" t="s">
        <v>119</v>
      </c>
      <c r="F1441" t="s">
        <v>12</v>
      </c>
      <c r="G1441" t="str">
        <f t="shared" si="0"/>
        <v>Williams</v>
      </c>
      <c r="H1441">
        <v>14</v>
      </c>
      <c r="I1441">
        <v>0</v>
      </c>
    </row>
    <row r="1442" spans="1:9" x14ac:dyDescent="0.45">
      <c r="A1442" t="s">
        <v>30</v>
      </c>
      <c r="B1442" t="s">
        <v>109</v>
      </c>
      <c r="C1442" t="s">
        <v>31</v>
      </c>
      <c r="D1442">
        <v>9</v>
      </c>
      <c r="E1442" t="s">
        <v>119</v>
      </c>
      <c r="F1442" t="s">
        <v>8</v>
      </c>
      <c r="G1442" t="str">
        <f t="shared" si="0"/>
        <v>Alpine</v>
      </c>
      <c r="H1442">
        <v>15</v>
      </c>
      <c r="I1442">
        <v>0</v>
      </c>
    </row>
    <row r="1443" spans="1:9" x14ac:dyDescent="0.45">
      <c r="A1443" t="s">
        <v>30</v>
      </c>
      <c r="B1443" t="s">
        <v>109</v>
      </c>
      <c r="C1443" t="s">
        <v>31</v>
      </c>
      <c r="D1443">
        <v>9</v>
      </c>
      <c r="E1443" t="s">
        <v>119</v>
      </c>
      <c r="F1443" t="s">
        <v>13</v>
      </c>
      <c r="G1443" t="str">
        <f t="shared" si="0"/>
        <v>Racing Bulls</v>
      </c>
      <c r="H1443">
        <v>16</v>
      </c>
      <c r="I1443">
        <v>0</v>
      </c>
    </row>
    <row r="1444" spans="1:9" x14ac:dyDescent="0.45">
      <c r="A1444" t="s">
        <v>30</v>
      </c>
      <c r="B1444" t="s">
        <v>109</v>
      </c>
      <c r="C1444" t="s">
        <v>31</v>
      </c>
      <c r="D1444">
        <v>9</v>
      </c>
      <c r="E1444" t="s">
        <v>119</v>
      </c>
      <c r="F1444" t="s">
        <v>14</v>
      </c>
      <c r="G1444" t="str">
        <f t="shared" si="0"/>
        <v>Haas</v>
      </c>
      <c r="H1444">
        <v>17</v>
      </c>
      <c r="I1444">
        <v>0</v>
      </c>
    </row>
    <row r="1445" spans="1:9" x14ac:dyDescent="0.45">
      <c r="A1445" t="s">
        <v>30</v>
      </c>
      <c r="B1445" t="s">
        <v>109</v>
      </c>
      <c r="C1445" t="s">
        <v>31</v>
      </c>
      <c r="D1445">
        <v>9</v>
      </c>
      <c r="E1445" t="s">
        <v>119</v>
      </c>
      <c r="F1445" t="s">
        <v>36</v>
      </c>
      <c r="G1445" t="str">
        <f t="shared" si="0"/>
        <v>Racing Bulls</v>
      </c>
      <c r="H1445">
        <v>18</v>
      </c>
      <c r="I1445">
        <v>0</v>
      </c>
    </row>
    <row r="1446" spans="1:9" x14ac:dyDescent="0.45">
      <c r="A1446" t="s">
        <v>30</v>
      </c>
      <c r="B1446" t="s">
        <v>109</v>
      </c>
      <c r="C1446" t="s">
        <v>31</v>
      </c>
      <c r="D1446">
        <v>9</v>
      </c>
      <c r="E1446" t="s">
        <v>119</v>
      </c>
      <c r="F1446" t="s">
        <v>11</v>
      </c>
      <c r="G1446" t="str">
        <f t="shared" si="0"/>
        <v>Aston Martin</v>
      </c>
      <c r="H1446">
        <v>19</v>
      </c>
      <c r="I1446">
        <v>0</v>
      </c>
    </row>
    <row r="1447" spans="1:9" x14ac:dyDescent="0.45">
      <c r="A1447" t="s">
        <v>30</v>
      </c>
      <c r="B1447" t="s">
        <v>109</v>
      </c>
      <c r="C1447" t="s">
        <v>31</v>
      </c>
      <c r="D1447">
        <v>9</v>
      </c>
      <c r="E1447" t="s">
        <v>119</v>
      </c>
      <c r="F1447" t="s">
        <v>4</v>
      </c>
      <c r="G1447" t="str">
        <f t="shared" si="0"/>
        <v>Mercedes</v>
      </c>
      <c r="H1447">
        <v>20</v>
      </c>
      <c r="I1447">
        <v>0</v>
      </c>
    </row>
    <row r="1448" spans="1:9" x14ac:dyDescent="0.45">
      <c r="A1448" t="s">
        <v>30</v>
      </c>
      <c r="B1448" t="s">
        <v>109</v>
      </c>
      <c r="C1448" t="s">
        <v>31</v>
      </c>
      <c r="D1448">
        <v>10</v>
      </c>
      <c r="E1448" t="s">
        <v>126</v>
      </c>
      <c r="F1448" t="s">
        <v>32</v>
      </c>
      <c r="G1448" t="str">
        <f t="shared" si="0"/>
        <v>Alpine</v>
      </c>
      <c r="H1448">
        <v>1</v>
      </c>
      <c r="I1448">
        <v>25</v>
      </c>
    </row>
    <row r="1449" spans="1:9" x14ac:dyDescent="0.45">
      <c r="A1449" t="s">
        <v>30</v>
      </c>
      <c r="B1449" t="s">
        <v>109</v>
      </c>
      <c r="C1449" t="s">
        <v>31</v>
      </c>
      <c r="D1449">
        <v>10</v>
      </c>
      <c r="E1449" t="s">
        <v>126</v>
      </c>
      <c r="F1449" t="s">
        <v>34</v>
      </c>
      <c r="G1449" t="str">
        <f t="shared" si="0"/>
        <v>Mercedes</v>
      </c>
      <c r="H1449">
        <v>2</v>
      </c>
      <c r="I1449">
        <v>18</v>
      </c>
    </row>
    <row r="1450" spans="1:9" x14ac:dyDescent="0.45">
      <c r="A1450" t="s">
        <v>30</v>
      </c>
      <c r="B1450" t="s">
        <v>109</v>
      </c>
      <c r="C1450" t="s">
        <v>31</v>
      </c>
      <c r="D1450">
        <v>10</v>
      </c>
      <c r="E1450" t="s">
        <v>126</v>
      </c>
      <c r="F1450" t="s">
        <v>0</v>
      </c>
      <c r="G1450" t="str">
        <f t="shared" si="0"/>
        <v>Ferrari</v>
      </c>
      <c r="H1450">
        <v>3</v>
      </c>
      <c r="I1450">
        <v>15</v>
      </c>
    </row>
    <row r="1451" spans="1:9" x14ac:dyDescent="0.45">
      <c r="A1451" t="s">
        <v>30</v>
      </c>
      <c r="B1451" t="s">
        <v>109</v>
      </c>
      <c r="C1451" t="s">
        <v>31</v>
      </c>
      <c r="D1451">
        <v>10</v>
      </c>
      <c r="E1451" t="s">
        <v>126</v>
      </c>
      <c r="F1451" t="s">
        <v>3</v>
      </c>
      <c r="G1451" t="str">
        <f t="shared" si="0"/>
        <v>McLaren</v>
      </c>
      <c r="H1451">
        <v>4</v>
      </c>
      <c r="I1451">
        <v>12</v>
      </c>
    </row>
    <row r="1452" spans="1:9" x14ac:dyDescent="0.45">
      <c r="A1452" t="s">
        <v>30</v>
      </c>
      <c r="B1452" t="s">
        <v>109</v>
      </c>
      <c r="C1452" t="s">
        <v>31</v>
      </c>
      <c r="D1452">
        <v>10</v>
      </c>
      <c r="E1452" t="s">
        <v>126</v>
      </c>
      <c r="F1452" t="s">
        <v>7</v>
      </c>
      <c r="G1452" t="str">
        <f t="shared" si="0"/>
        <v>McLaren</v>
      </c>
      <c r="H1452">
        <v>5</v>
      </c>
      <c r="I1452">
        <v>10</v>
      </c>
    </row>
    <row r="1453" spans="1:9" x14ac:dyDescent="0.45">
      <c r="A1453" t="s">
        <v>30</v>
      </c>
      <c r="B1453" t="s">
        <v>109</v>
      </c>
      <c r="C1453" t="s">
        <v>31</v>
      </c>
      <c r="D1453">
        <v>10</v>
      </c>
      <c r="E1453" t="s">
        <v>126</v>
      </c>
      <c r="F1453" t="s">
        <v>6</v>
      </c>
      <c r="G1453" t="str">
        <f t="shared" si="0"/>
        <v>Aston Martin</v>
      </c>
      <c r="H1453">
        <v>6</v>
      </c>
      <c r="I1453">
        <v>8</v>
      </c>
    </row>
    <row r="1454" spans="1:9" x14ac:dyDescent="0.45">
      <c r="A1454" t="s">
        <v>30</v>
      </c>
      <c r="B1454" t="s">
        <v>109</v>
      </c>
      <c r="C1454" t="s">
        <v>31</v>
      </c>
      <c r="D1454">
        <v>10</v>
      </c>
      <c r="E1454" t="s">
        <v>126</v>
      </c>
      <c r="F1454" t="s">
        <v>12</v>
      </c>
      <c r="G1454" t="str">
        <f t="shared" si="0"/>
        <v>Williams</v>
      </c>
      <c r="H1454">
        <v>7</v>
      </c>
      <c r="I1454">
        <v>6</v>
      </c>
    </row>
    <row r="1455" spans="1:9" x14ac:dyDescent="0.45">
      <c r="A1455" t="s">
        <v>30</v>
      </c>
      <c r="B1455" t="s">
        <v>109</v>
      </c>
      <c r="C1455" t="s">
        <v>31</v>
      </c>
      <c r="D1455">
        <v>10</v>
      </c>
      <c r="E1455" t="s">
        <v>126</v>
      </c>
      <c r="F1455" t="s">
        <v>1</v>
      </c>
      <c r="G1455" t="str">
        <f t="shared" si="0"/>
        <v>Red Bull</v>
      </c>
      <c r="H1455">
        <v>8</v>
      </c>
      <c r="I1455">
        <v>4</v>
      </c>
    </row>
    <row r="1456" spans="1:9" x14ac:dyDescent="0.45">
      <c r="A1456" t="s">
        <v>30</v>
      </c>
      <c r="B1456" t="s">
        <v>109</v>
      </c>
      <c r="C1456" t="s">
        <v>31</v>
      </c>
      <c r="D1456">
        <v>10</v>
      </c>
      <c r="E1456" t="s">
        <v>126</v>
      </c>
      <c r="F1456" t="s">
        <v>33</v>
      </c>
      <c r="G1456" t="str">
        <f t="shared" si="0"/>
        <v>Red Bull</v>
      </c>
      <c r="H1456">
        <v>9</v>
      </c>
      <c r="I1456">
        <v>2</v>
      </c>
    </row>
    <row r="1457" spans="1:9" x14ac:dyDescent="0.45">
      <c r="A1457" t="s">
        <v>30</v>
      </c>
      <c r="B1457" t="s">
        <v>109</v>
      </c>
      <c r="C1457" t="s">
        <v>31</v>
      </c>
      <c r="D1457">
        <v>10</v>
      </c>
      <c r="E1457" t="s">
        <v>126</v>
      </c>
      <c r="F1457" t="s">
        <v>35</v>
      </c>
      <c r="G1457" t="str">
        <f t="shared" si="0"/>
        <v>Kick Sauber</v>
      </c>
      <c r="H1457">
        <v>10</v>
      </c>
      <c r="I1457">
        <v>1</v>
      </c>
    </row>
    <row r="1458" spans="1:9" x14ac:dyDescent="0.45">
      <c r="A1458" t="s">
        <v>30</v>
      </c>
      <c r="B1458" t="s">
        <v>109</v>
      </c>
      <c r="C1458" t="s">
        <v>31</v>
      </c>
      <c r="D1458">
        <v>10</v>
      </c>
      <c r="E1458" t="s">
        <v>126</v>
      </c>
      <c r="F1458" t="s">
        <v>9</v>
      </c>
      <c r="G1458" t="str">
        <f t="shared" si="0"/>
        <v>Haas</v>
      </c>
      <c r="H1458">
        <v>11</v>
      </c>
      <c r="I1458">
        <v>0</v>
      </c>
    </row>
    <row r="1459" spans="1:9" x14ac:dyDescent="0.45">
      <c r="A1459" t="s">
        <v>30</v>
      </c>
      <c r="B1459" t="s">
        <v>109</v>
      </c>
      <c r="C1459" t="s">
        <v>31</v>
      </c>
      <c r="D1459">
        <v>10</v>
      </c>
      <c r="E1459" t="s">
        <v>126</v>
      </c>
      <c r="F1459" t="s">
        <v>8</v>
      </c>
      <c r="G1459" t="str">
        <f t="shared" si="0"/>
        <v>Alpine</v>
      </c>
      <c r="H1459">
        <v>12</v>
      </c>
      <c r="I1459">
        <v>0</v>
      </c>
    </row>
    <row r="1460" spans="1:9" x14ac:dyDescent="0.45">
      <c r="A1460" t="s">
        <v>30</v>
      </c>
      <c r="B1460" t="s">
        <v>109</v>
      </c>
      <c r="C1460" t="s">
        <v>31</v>
      </c>
      <c r="D1460">
        <v>10</v>
      </c>
      <c r="E1460" t="s">
        <v>126</v>
      </c>
      <c r="F1460" t="s">
        <v>13</v>
      </c>
      <c r="G1460" t="str">
        <f t="shared" si="0"/>
        <v>Racing Bulls</v>
      </c>
      <c r="H1460">
        <v>13</v>
      </c>
      <c r="I1460">
        <v>0</v>
      </c>
    </row>
    <row r="1461" spans="1:9" x14ac:dyDescent="0.45">
      <c r="A1461" t="s">
        <v>30</v>
      </c>
      <c r="B1461" t="s">
        <v>109</v>
      </c>
      <c r="C1461" t="s">
        <v>31</v>
      </c>
      <c r="D1461">
        <v>10</v>
      </c>
      <c r="E1461" t="s">
        <v>126</v>
      </c>
      <c r="F1461" t="s">
        <v>2</v>
      </c>
      <c r="G1461" t="str">
        <f t="shared" si="0"/>
        <v>Ferrari</v>
      </c>
      <c r="H1461">
        <v>14</v>
      </c>
      <c r="I1461">
        <v>0</v>
      </c>
    </row>
    <row r="1462" spans="1:9" x14ac:dyDescent="0.45">
      <c r="A1462" t="s">
        <v>30</v>
      </c>
      <c r="B1462" t="s">
        <v>109</v>
      </c>
      <c r="C1462" t="s">
        <v>31</v>
      </c>
      <c r="D1462">
        <v>10</v>
      </c>
      <c r="E1462" t="s">
        <v>126</v>
      </c>
      <c r="F1462" t="s">
        <v>14</v>
      </c>
      <c r="G1462" t="str">
        <f t="shared" si="0"/>
        <v>Haas</v>
      </c>
      <c r="H1462">
        <v>15</v>
      </c>
      <c r="I1462">
        <v>0</v>
      </c>
    </row>
    <row r="1463" spans="1:9" x14ac:dyDescent="0.45">
      <c r="A1463" t="s">
        <v>30</v>
      </c>
      <c r="B1463" t="s">
        <v>109</v>
      </c>
      <c r="C1463" t="s">
        <v>31</v>
      </c>
      <c r="D1463">
        <v>10</v>
      </c>
      <c r="E1463" t="s">
        <v>126</v>
      </c>
      <c r="F1463" t="s">
        <v>11</v>
      </c>
      <c r="G1463" t="str">
        <f t="shared" si="0"/>
        <v>Aston Martin</v>
      </c>
      <c r="H1463">
        <v>16</v>
      </c>
      <c r="I1463">
        <v>0</v>
      </c>
    </row>
    <row r="1464" spans="1:9" x14ac:dyDescent="0.45">
      <c r="A1464" t="s">
        <v>30</v>
      </c>
      <c r="B1464" t="s">
        <v>109</v>
      </c>
      <c r="C1464" t="s">
        <v>31</v>
      </c>
      <c r="D1464">
        <v>10</v>
      </c>
      <c r="E1464" t="s">
        <v>126</v>
      </c>
      <c r="F1464" t="s">
        <v>10</v>
      </c>
      <c r="G1464" t="str">
        <f t="shared" si="0"/>
        <v>Kick Sauber</v>
      </c>
      <c r="H1464">
        <v>17</v>
      </c>
      <c r="I1464">
        <v>0</v>
      </c>
    </row>
    <row r="1465" spans="1:9" x14ac:dyDescent="0.45">
      <c r="A1465" t="s">
        <v>30</v>
      </c>
      <c r="B1465" t="s">
        <v>109</v>
      </c>
      <c r="C1465" t="s">
        <v>31</v>
      </c>
      <c r="D1465">
        <v>10</v>
      </c>
      <c r="E1465" t="s">
        <v>126</v>
      </c>
      <c r="F1465" t="s">
        <v>5</v>
      </c>
      <c r="G1465" t="str">
        <f t="shared" si="0"/>
        <v>Williams</v>
      </c>
      <c r="H1465">
        <v>18</v>
      </c>
      <c r="I1465">
        <v>0</v>
      </c>
    </row>
    <row r="1466" spans="1:9" x14ac:dyDescent="0.45">
      <c r="A1466" t="s">
        <v>30</v>
      </c>
      <c r="B1466" t="s">
        <v>109</v>
      </c>
      <c r="C1466" t="s">
        <v>31</v>
      </c>
      <c r="D1466">
        <v>10</v>
      </c>
      <c r="E1466" t="s">
        <v>126</v>
      </c>
      <c r="F1466" t="s">
        <v>36</v>
      </c>
      <c r="G1466" t="str">
        <f t="shared" si="0"/>
        <v>Racing Bulls</v>
      </c>
      <c r="H1466">
        <v>19</v>
      </c>
      <c r="I1466">
        <v>0</v>
      </c>
    </row>
    <row r="1467" spans="1:9" x14ac:dyDescent="0.45">
      <c r="A1467" t="s">
        <v>30</v>
      </c>
      <c r="B1467" t="s">
        <v>109</v>
      </c>
      <c r="C1467" t="s">
        <v>31</v>
      </c>
      <c r="D1467">
        <v>10</v>
      </c>
      <c r="E1467" t="s">
        <v>126</v>
      </c>
      <c r="F1467" t="s">
        <v>4</v>
      </c>
      <c r="G1467" t="str">
        <f t="shared" si="0"/>
        <v>Mercedes</v>
      </c>
      <c r="H1467">
        <v>20</v>
      </c>
      <c r="I1467">
        <v>0</v>
      </c>
    </row>
    <row r="1468" spans="1:9" x14ac:dyDescent="0.45">
      <c r="A1468" t="s">
        <v>30</v>
      </c>
      <c r="B1468" t="s">
        <v>109</v>
      </c>
      <c r="C1468" t="s">
        <v>31</v>
      </c>
      <c r="D1468">
        <v>11</v>
      </c>
      <c r="E1468" t="s">
        <v>127</v>
      </c>
      <c r="F1468" t="s">
        <v>0</v>
      </c>
      <c r="G1468" t="str">
        <f t="shared" si="0"/>
        <v>Ferrari</v>
      </c>
      <c r="H1468">
        <v>1</v>
      </c>
      <c r="I1468">
        <v>25</v>
      </c>
    </row>
    <row r="1469" spans="1:9" x14ac:dyDescent="0.45">
      <c r="A1469" t="s">
        <v>30</v>
      </c>
      <c r="B1469" t="s">
        <v>109</v>
      </c>
      <c r="C1469" t="s">
        <v>31</v>
      </c>
      <c r="D1469">
        <v>11</v>
      </c>
      <c r="E1469" t="s">
        <v>127</v>
      </c>
      <c r="F1469" t="s">
        <v>7</v>
      </c>
      <c r="G1469" t="str">
        <f t="shared" si="0"/>
        <v>McLaren</v>
      </c>
      <c r="H1469">
        <v>2</v>
      </c>
      <c r="I1469">
        <v>18</v>
      </c>
    </row>
    <row r="1470" spans="1:9" x14ac:dyDescent="0.45">
      <c r="A1470" t="s">
        <v>30</v>
      </c>
      <c r="B1470" t="s">
        <v>109</v>
      </c>
      <c r="C1470" t="s">
        <v>31</v>
      </c>
      <c r="D1470">
        <v>11</v>
      </c>
      <c r="E1470" t="s">
        <v>127</v>
      </c>
      <c r="F1470" t="s">
        <v>1</v>
      </c>
      <c r="G1470" t="str">
        <f t="shared" si="0"/>
        <v>Red Bull</v>
      </c>
      <c r="H1470">
        <v>3</v>
      </c>
      <c r="I1470">
        <v>15</v>
      </c>
    </row>
    <row r="1471" spans="1:9" x14ac:dyDescent="0.45">
      <c r="A1471" t="s">
        <v>30</v>
      </c>
      <c r="B1471" t="s">
        <v>109</v>
      </c>
      <c r="C1471" t="s">
        <v>31</v>
      </c>
      <c r="D1471">
        <v>11</v>
      </c>
      <c r="E1471" t="s">
        <v>127</v>
      </c>
      <c r="F1471" t="s">
        <v>2</v>
      </c>
      <c r="G1471" t="str">
        <f t="shared" si="0"/>
        <v>Ferrari</v>
      </c>
      <c r="H1471">
        <v>4</v>
      </c>
      <c r="I1471">
        <v>12</v>
      </c>
    </row>
    <row r="1472" spans="1:9" x14ac:dyDescent="0.45">
      <c r="A1472" t="s">
        <v>30</v>
      </c>
      <c r="B1472" t="s">
        <v>109</v>
      </c>
      <c r="C1472" t="s">
        <v>31</v>
      </c>
      <c r="D1472">
        <v>11</v>
      </c>
      <c r="E1472" t="s">
        <v>127</v>
      </c>
      <c r="F1472" t="s">
        <v>34</v>
      </c>
      <c r="G1472" t="str">
        <f t="shared" ref="G1472:G1508" si="1">VLOOKUP(F1472,$M$1408:$N$1427,2,FALSE)</f>
        <v>Mercedes</v>
      </c>
      <c r="H1472">
        <v>5</v>
      </c>
      <c r="I1472">
        <v>10</v>
      </c>
    </row>
    <row r="1473" spans="1:9" x14ac:dyDescent="0.45">
      <c r="A1473" t="s">
        <v>30</v>
      </c>
      <c r="B1473" t="s">
        <v>109</v>
      </c>
      <c r="C1473" t="s">
        <v>31</v>
      </c>
      <c r="D1473">
        <v>11</v>
      </c>
      <c r="E1473" t="s">
        <v>127</v>
      </c>
      <c r="F1473" t="s">
        <v>32</v>
      </c>
      <c r="G1473" t="str">
        <f t="shared" si="1"/>
        <v>Alpine</v>
      </c>
      <c r="H1473">
        <v>6</v>
      </c>
      <c r="I1473">
        <v>8</v>
      </c>
    </row>
    <row r="1474" spans="1:9" x14ac:dyDescent="0.45">
      <c r="A1474" t="s">
        <v>30</v>
      </c>
      <c r="B1474" t="s">
        <v>109</v>
      </c>
      <c r="C1474" t="s">
        <v>31</v>
      </c>
      <c r="D1474">
        <v>11</v>
      </c>
      <c r="E1474" t="s">
        <v>127</v>
      </c>
      <c r="F1474" t="s">
        <v>6</v>
      </c>
      <c r="G1474" t="str">
        <f t="shared" si="1"/>
        <v>Aston Martin</v>
      </c>
      <c r="H1474">
        <v>7</v>
      </c>
      <c r="I1474">
        <v>6</v>
      </c>
    </row>
    <row r="1475" spans="1:9" x14ac:dyDescent="0.45">
      <c r="A1475" t="s">
        <v>30</v>
      </c>
      <c r="B1475" t="s">
        <v>109</v>
      </c>
      <c r="C1475" t="s">
        <v>31</v>
      </c>
      <c r="D1475">
        <v>11</v>
      </c>
      <c r="E1475" t="s">
        <v>127</v>
      </c>
      <c r="F1475" t="s">
        <v>35</v>
      </c>
      <c r="G1475" t="str">
        <f t="shared" si="1"/>
        <v>Kick Sauber</v>
      </c>
      <c r="H1475">
        <v>8</v>
      </c>
      <c r="I1475">
        <v>4</v>
      </c>
    </row>
    <row r="1476" spans="1:9" x14ac:dyDescent="0.45">
      <c r="A1476" t="s">
        <v>30</v>
      </c>
      <c r="B1476" t="s">
        <v>109</v>
      </c>
      <c r="C1476" t="s">
        <v>31</v>
      </c>
      <c r="D1476">
        <v>11</v>
      </c>
      <c r="E1476" t="s">
        <v>127</v>
      </c>
      <c r="F1476" t="s">
        <v>4</v>
      </c>
      <c r="G1476" t="str">
        <f t="shared" si="1"/>
        <v>Mercedes</v>
      </c>
      <c r="H1476">
        <v>9</v>
      </c>
      <c r="I1476">
        <v>2</v>
      </c>
    </row>
    <row r="1477" spans="1:9" x14ac:dyDescent="0.45">
      <c r="A1477" t="s">
        <v>30</v>
      </c>
      <c r="B1477" t="s">
        <v>109</v>
      </c>
      <c r="C1477" t="s">
        <v>31</v>
      </c>
      <c r="D1477">
        <v>11</v>
      </c>
      <c r="E1477" t="s">
        <v>127</v>
      </c>
      <c r="F1477" t="s">
        <v>12</v>
      </c>
      <c r="G1477" t="str">
        <f t="shared" si="1"/>
        <v>Williams</v>
      </c>
      <c r="H1477">
        <v>10</v>
      </c>
      <c r="I1477">
        <v>1</v>
      </c>
    </row>
    <row r="1478" spans="1:9" x14ac:dyDescent="0.45">
      <c r="A1478" t="s">
        <v>30</v>
      </c>
      <c r="B1478" t="s">
        <v>109</v>
      </c>
      <c r="C1478" t="s">
        <v>31</v>
      </c>
      <c r="D1478">
        <v>11</v>
      </c>
      <c r="E1478" t="s">
        <v>127</v>
      </c>
      <c r="F1478" t="s">
        <v>3</v>
      </c>
      <c r="G1478" t="str">
        <f t="shared" si="1"/>
        <v>McLaren</v>
      </c>
      <c r="H1478">
        <v>11</v>
      </c>
      <c r="I1478">
        <v>0</v>
      </c>
    </row>
    <row r="1479" spans="1:9" x14ac:dyDescent="0.45">
      <c r="A1479" t="s">
        <v>30</v>
      </c>
      <c r="B1479" t="s">
        <v>109</v>
      </c>
      <c r="C1479" t="s">
        <v>31</v>
      </c>
      <c r="D1479">
        <v>11</v>
      </c>
      <c r="E1479" t="s">
        <v>127</v>
      </c>
      <c r="F1479" t="s">
        <v>10</v>
      </c>
      <c r="G1479" t="str">
        <f t="shared" si="1"/>
        <v>Kick Sauber</v>
      </c>
      <c r="H1479">
        <v>12</v>
      </c>
      <c r="I1479">
        <v>0</v>
      </c>
    </row>
    <row r="1480" spans="1:9" x14ac:dyDescent="0.45">
      <c r="A1480" t="s">
        <v>30</v>
      </c>
      <c r="B1480" t="s">
        <v>109</v>
      </c>
      <c r="C1480" t="s">
        <v>31</v>
      </c>
      <c r="D1480">
        <v>11</v>
      </c>
      <c r="E1480" t="s">
        <v>127</v>
      </c>
      <c r="F1480" t="s">
        <v>9</v>
      </c>
      <c r="G1480" t="str">
        <f t="shared" si="1"/>
        <v>Haas</v>
      </c>
      <c r="H1480">
        <v>13</v>
      </c>
      <c r="I1480">
        <v>0</v>
      </c>
    </row>
    <row r="1481" spans="1:9" x14ac:dyDescent="0.45">
      <c r="A1481" t="s">
        <v>30</v>
      </c>
      <c r="B1481" t="s">
        <v>109</v>
      </c>
      <c r="C1481" t="s">
        <v>31</v>
      </c>
      <c r="D1481">
        <v>11</v>
      </c>
      <c r="E1481" t="s">
        <v>127</v>
      </c>
      <c r="F1481" t="s">
        <v>33</v>
      </c>
      <c r="G1481" t="str">
        <f t="shared" si="1"/>
        <v>Red Bull</v>
      </c>
      <c r="H1481">
        <v>14</v>
      </c>
      <c r="I1481">
        <v>0</v>
      </c>
    </row>
    <row r="1482" spans="1:9" x14ac:dyDescent="0.45">
      <c r="A1482" t="s">
        <v>30</v>
      </c>
      <c r="B1482" t="s">
        <v>109</v>
      </c>
      <c r="C1482" t="s">
        <v>31</v>
      </c>
      <c r="D1482">
        <v>11</v>
      </c>
      <c r="E1482" t="s">
        <v>127</v>
      </c>
      <c r="F1482" t="s">
        <v>11</v>
      </c>
      <c r="G1482" t="str">
        <f t="shared" si="1"/>
        <v>Aston Martin</v>
      </c>
      <c r="H1482">
        <v>15</v>
      </c>
      <c r="I1482">
        <v>0</v>
      </c>
    </row>
    <row r="1483" spans="1:9" x14ac:dyDescent="0.45">
      <c r="A1483" t="s">
        <v>30</v>
      </c>
      <c r="B1483" t="s">
        <v>109</v>
      </c>
      <c r="C1483" t="s">
        <v>31</v>
      </c>
      <c r="D1483">
        <v>11</v>
      </c>
      <c r="E1483" t="s">
        <v>127</v>
      </c>
      <c r="F1483" t="s">
        <v>8</v>
      </c>
      <c r="G1483" t="str">
        <f t="shared" si="1"/>
        <v>Alpine</v>
      </c>
      <c r="H1483">
        <v>16</v>
      </c>
      <c r="I1483">
        <v>0</v>
      </c>
    </row>
    <row r="1484" spans="1:9" x14ac:dyDescent="0.45">
      <c r="A1484" t="s">
        <v>30</v>
      </c>
      <c r="B1484" t="s">
        <v>109</v>
      </c>
      <c r="C1484" t="s">
        <v>31</v>
      </c>
      <c r="D1484">
        <v>11</v>
      </c>
      <c r="E1484" t="s">
        <v>127</v>
      </c>
      <c r="F1484" t="s">
        <v>5</v>
      </c>
      <c r="G1484" t="str">
        <f t="shared" si="1"/>
        <v>Williams</v>
      </c>
      <c r="H1484">
        <v>17</v>
      </c>
      <c r="I1484">
        <v>0</v>
      </c>
    </row>
    <row r="1485" spans="1:9" x14ac:dyDescent="0.45">
      <c r="A1485" t="s">
        <v>30</v>
      </c>
      <c r="B1485" t="s">
        <v>109</v>
      </c>
      <c r="C1485" t="s">
        <v>31</v>
      </c>
      <c r="D1485">
        <v>11</v>
      </c>
      <c r="E1485" t="s">
        <v>127</v>
      </c>
      <c r="F1485" t="s">
        <v>13</v>
      </c>
      <c r="G1485" t="str">
        <f t="shared" si="1"/>
        <v>Racing Bulls</v>
      </c>
      <c r="H1485">
        <v>18</v>
      </c>
      <c r="I1485">
        <v>0</v>
      </c>
    </row>
    <row r="1486" spans="1:9" x14ac:dyDescent="0.45">
      <c r="A1486" t="s">
        <v>30</v>
      </c>
      <c r="B1486" t="s">
        <v>109</v>
      </c>
      <c r="C1486" t="s">
        <v>31</v>
      </c>
      <c r="D1486">
        <v>11</v>
      </c>
      <c r="E1486" t="s">
        <v>127</v>
      </c>
      <c r="F1486" t="s">
        <v>14</v>
      </c>
      <c r="G1486" t="str">
        <f t="shared" si="1"/>
        <v>Haas</v>
      </c>
      <c r="H1486">
        <v>19</v>
      </c>
      <c r="I1486">
        <v>0</v>
      </c>
    </row>
    <row r="1487" spans="1:9" x14ac:dyDescent="0.45">
      <c r="A1487" t="s">
        <v>30</v>
      </c>
      <c r="B1487" t="s">
        <v>109</v>
      </c>
      <c r="C1487" t="s">
        <v>31</v>
      </c>
      <c r="D1487">
        <v>11</v>
      </c>
      <c r="E1487" t="s">
        <v>127</v>
      </c>
      <c r="F1487" t="s">
        <v>36</v>
      </c>
      <c r="G1487" t="str">
        <f t="shared" si="1"/>
        <v>Racing Bulls</v>
      </c>
      <c r="H1487">
        <v>20</v>
      </c>
      <c r="I1487">
        <v>0</v>
      </c>
    </row>
    <row r="1488" spans="1:9" x14ac:dyDescent="0.45">
      <c r="A1488" t="s">
        <v>30</v>
      </c>
      <c r="B1488" t="s">
        <v>109</v>
      </c>
      <c r="C1488" t="s">
        <v>31</v>
      </c>
      <c r="D1488">
        <v>12</v>
      </c>
      <c r="E1488" t="s">
        <v>128</v>
      </c>
      <c r="F1488" t="s">
        <v>34</v>
      </c>
      <c r="G1488" t="str">
        <f t="shared" si="1"/>
        <v>Mercedes</v>
      </c>
      <c r="H1488">
        <v>1</v>
      </c>
      <c r="I1488">
        <v>25</v>
      </c>
    </row>
    <row r="1489" spans="1:9" x14ac:dyDescent="0.45">
      <c r="A1489" t="s">
        <v>30</v>
      </c>
      <c r="B1489" t="s">
        <v>109</v>
      </c>
      <c r="C1489" t="s">
        <v>31</v>
      </c>
      <c r="D1489">
        <v>12</v>
      </c>
      <c r="E1489" t="s">
        <v>128</v>
      </c>
      <c r="F1489" t="s">
        <v>32</v>
      </c>
      <c r="G1489" t="str">
        <f t="shared" si="1"/>
        <v>Alpine</v>
      </c>
      <c r="H1489">
        <v>2</v>
      </c>
      <c r="I1489">
        <v>18</v>
      </c>
    </row>
    <row r="1490" spans="1:9" x14ac:dyDescent="0.45">
      <c r="A1490" t="s">
        <v>30</v>
      </c>
      <c r="B1490" t="s">
        <v>109</v>
      </c>
      <c r="C1490" t="s">
        <v>31</v>
      </c>
      <c r="D1490">
        <v>12</v>
      </c>
      <c r="E1490" t="s">
        <v>128</v>
      </c>
      <c r="F1490" t="s">
        <v>33</v>
      </c>
      <c r="G1490" t="str">
        <f t="shared" si="1"/>
        <v>Red Bull</v>
      </c>
      <c r="H1490">
        <v>3</v>
      </c>
      <c r="I1490">
        <v>15</v>
      </c>
    </row>
    <row r="1491" spans="1:9" x14ac:dyDescent="0.45">
      <c r="A1491" t="s">
        <v>30</v>
      </c>
      <c r="B1491" t="s">
        <v>109</v>
      </c>
      <c r="C1491" t="s">
        <v>31</v>
      </c>
      <c r="D1491">
        <v>12</v>
      </c>
      <c r="E1491" t="s">
        <v>128</v>
      </c>
      <c r="F1491" t="s">
        <v>0</v>
      </c>
      <c r="G1491" t="str">
        <f t="shared" si="1"/>
        <v>Ferrari</v>
      </c>
      <c r="H1491">
        <v>4</v>
      </c>
      <c r="I1491">
        <v>12</v>
      </c>
    </row>
    <row r="1492" spans="1:9" x14ac:dyDescent="0.45">
      <c r="A1492" t="s">
        <v>30</v>
      </c>
      <c r="B1492" t="s">
        <v>109</v>
      </c>
      <c r="C1492" t="s">
        <v>31</v>
      </c>
      <c r="D1492">
        <v>12</v>
      </c>
      <c r="E1492" t="s">
        <v>128</v>
      </c>
      <c r="F1492" t="s">
        <v>7</v>
      </c>
      <c r="G1492" t="str">
        <f t="shared" si="1"/>
        <v>McLaren</v>
      </c>
      <c r="H1492">
        <v>5</v>
      </c>
      <c r="I1492">
        <v>10</v>
      </c>
    </row>
    <row r="1493" spans="1:9" x14ac:dyDescent="0.45">
      <c r="A1493" t="s">
        <v>30</v>
      </c>
      <c r="B1493" t="s">
        <v>109</v>
      </c>
      <c r="C1493" t="s">
        <v>31</v>
      </c>
      <c r="D1493">
        <v>12</v>
      </c>
      <c r="E1493" t="s">
        <v>128</v>
      </c>
      <c r="F1493" t="s">
        <v>6</v>
      </c>
      <c r="G1493" t="str">
        <f t="shared" si="1"/>
        <v>Aston Martin</v>
      </c>
      <c r="H1493">
        <v>6</v>
      </c>
      <c r="I1493">
        <v>8</v>
      </c>
    </row>
    <row r="1494" spans="1:9" x14ac:dyDescent="0.45">
      <c r="A1494" t="s">
        <v>30</v>
      </c>
      <c r="B1494" t="s">
        <v>109</v>
      </c>
      <c r="C1494" t="s">
        <v>31</v>
      </c>
      <c r="D1494">
        <v>12</v>
      </c>
      <c r="E1494" t="s">
        <v>128</v>
      </c>
      <c r="F1494" t="s">
        <v>2</v>
      </c>
      <c r="G1494" t="str">
        <f t="shared" si="1"/>
        <v>Ferrari</v>
      </c>
      <c r="H1494">
        <v>7</v>
      </c>
      <c r="I1494">
        <v>6</v>
      </c>
    </row>
    <row r="1495" spans="1:9" x14ac:dyDescent="0.45">
      <c r="A1495" t="s">
        <v>30</v>
      </c>
      <c r="B1495" t="s">
        <v>109</v>
      </c>
      <c r="C1495" t="s">
        <v>31</v>
      </c>
      <c r="D1495">
        <v>12</v>
      </c>
      <c r="E1495" t="s">
        <v>128</v>
      </c>
      <c r="F1495" t="s">
        <v>4</v>
      </c>
      <c r="G1495" t="str">
        <f t="shared" si="1"/>
        <v>Mercedes</v>
      </c>
      <c r="H1495">
        <v>8</v>
      </c>
      <c r="I1495">
        <v>4</v>
      </c>
    </row>
    <row r="1496" spans="1:9" x14ac:dyDescent="0.45">
      <c r="A1496" t="s">
        <v>30</v>
      </c>
      <c r="B1496" t="s">
        <v>109</v>
      </c>
      <c r="C1496" t="s">
        <v>31</v>
      </c>
      <c r="D1496">
        <v>12</v>
      </c>
      <c r="E1496" t="s">
        <v>128</v>
      </c>
      <c r="F1496" t="s">
        <v>3</v>
      </c>
      <c r="G1496" t="str">
        <f t="shared" si="1"/>
        <v>McLaren</v>
      </c>
      <c r="H1496">
        <v>9</v>
      </c>
      <c r="I1496">
        <v>2</v>
      </c>
    </row>
    <row r="1497" spans="1:9" x14ac:dyDescent="0.45">
      <c r="A1497" t="s">
        <v>30</v>
      </c>
      <c r="B1497" t="s">
        <v>109</v>
      </c>
      <c r="C1497" t="s">
        <v>31</v>
      </c>
      <c r="D1497">
        <v>12</v>
      </c>
      <c r="E1497" t="s">
        <v>128</v>
      </c>
      <c r="F1497" t="s">
        <v>35</v>
      </c>
      <c r="G1497" t="str">
        <f t="shared" si="1"/>
        <v>Kick Sauber</v>
      </c>
      <c r="H1497">
        <v>10</v>
      </c>
      <c r="I1497">
        <v>1</v>
      </c>
    </row>
    <row r="1498" spans="1:9" x14ac:dyDescent="0.45">
      <c r="A1498" t="s">
        <v>30</v>
      </c>
      <c r="B1498" t="s">
        <v>109</v>
      </c>
      <c r="C1498" t="s">
        <v>31</v>
      </c>
      <c r="D1498">
        <v>12</v>
      </c>
      <c r="E1498" t="s">
        <v>128</v>
      </c>
      <c r="F1498" t="s">
        <v>1</v>
      </c>
      <c r="G1498" t="str">
        <f t="shared" si="1"/>
        <v>Red Bull</v>
      </c>
      <c r="H1498">
        <v>11</v>
      </c>
      <c r="I1498">
        <v>0</v>
      </c>
    </row>
    <row r="1499" spans="1:9" x14ac:dyDescent="0.45">
      <c r="A1499" t="s">
        <v>30</v>
      </c>
      <c r="B1499" t="s">
        <v>109</v>
      </c>
      <c r="C1499" t="s">
        <v>31</v>
      </c>
      <c r="D1499">
        <v>12</v>
      </c>
      <c r="E1499" t="s">
        <v>128</v>
      </c>
      <c r="F1499" t="s">
        <v>5</v>
      </c>
      <c r="G1499" t="str">
        <f t="shared" si="1"/>
        <v>Williams</v>
      </c>
      <c r="H1499">
        <v>12</v>
      </c>
      <c r="I1499">
        <v>0</v>
      </c>
    </row>
    <row r="1500" spans="1:9" x14ac:dyDescent="0.45">
      <c r="A1500" t="s">
        <v>30</v>
      </c>
      <c r="B1500" t="s">
        <v>109</v>
      </c>
      <c r="C1500" t="s">
        <v>31</v>
      </c>
      <c r="D1500">
        <v>12</v>
      </c>
      <c r="E1500" t="s">
        <v>128</v>
      </c>
      <c r="F1500" t="s">
        <v>11</v>
      </c>
      <c r="G1500" t="str">
        <f t="shared" si="1"/>
        <v>Aston Martin</v>
      </c>
      <c r="H1500">
        <v>13</v>
      </c>
      <c r="I1500">
        <v>0</v>
      </c>
    </row>
    <row r="1501" spans="1:9" x14ac:dyDescent="0.45">
      <c r="A1501" t="s">
        <v>30</v>
      </c>
      <c r="B1501" t="s">
        <v>109</v>
      </c>
      <c r="C1501" t="s">
        <v>31</v>
      </c>
      <c r="D1501">
        <v>12</v>
      </c>
      <c r="E1501" t="s">
        <v>128</v>
      </c>
      <c r="F1501" t="s">
        <v>9</v>
      </c>
      <c r="G1501" t="str">
        <f t="shared" si="1"/>
        <v>Haas</v>
      </c>
      <c r="H1501">
        <v>14</v>
      </c>
      <c r="I1501">
        <v>0</v>
      </c>
    </row>
    <row r="1502" spans="1:9" x14ac:dyDescent="0.45">
      <c r="A1502" t="s">
        <v>30</v>
      </c>
      <c r="B1502" t="s">
        <v>109</v>
      </c>
      <c r="C1502" t="s">
        <v>31</v>
      </c>
      <c r="D1502">
        <v>12</v>
      </c>
      <c r="E1502" t="s">
        <v>128</v>
      </c>
      <c r="F1502" t="s">
        <v>8</v>
      </c>
      <c r="G1502" t="str">
        <f t="shared" si="1"/>
        <v>Alpine</v>
      </c>
      <c r="H1502">
        <v>15</v>
      </c>
      <c r="I1502">
        <v>0</v>
      </c>
    </row>
    <row r="1503" spans="1:9" x14ac:dyDescent="0.45">
      <c r="A1503" t="s">
        <v>30</v>
      </c>
      <c r="B1503" t="s">
        <v>109</v>
      </c>
      <c r="C1503" t="s">
        <v>31</v>
      </c>
      <c r="D1503">
        <v>12</v>
      </c>
      <c r="E1503" t="s">
        <v>128</v>
      </c>
      <c r="F1503" t="s">
        <v>14</v>
      </c>
      <c r="G1503" t="str">
        <f t="shared" si="1"/>
        <v>Haas</v>
      </c>
      <c r="H1503">
        <v>16</v>
      </c>
      <c r="I1503">
        <v>0</v>
      </c>
    </row>
    <row r="1504" spans="1:9" x14ac:dyDescent="0.45">
      <c r="A1504" t="s">
        <v>30</v>
      </c>
      <c r="B1504" t="s">
        <v>109</v>
      </c>
      <c r="C1504" t="s">
        <v>31</v>
      </c>
      <c r="D1504">
        <v>12</v>
      </c>
      <c r="E1504" t="s">
        <v>128</v>
      </c>
      <c r="F1504" t="s">
        <v>13</v>
      </c>
      <c r="G1504" t="str">
        <f t="shared" si="1"/>
        <v>Racing Bulls</v>
      </c>
      <c r="H1504">
        <v>17</v>
      </c>
      <c r="I1504">
        <v>0</v>
      </c>
    </row>
    <row r="1505" spans="1:11" x14ac:dyDescent="0.45">
      <c r="A1505" t="s">
        <v>30</v>
      </c>
      <c r="B1505" t="s">
        <v>109</v>
      </c>
      <c r="C1505" t="s">
        <v>31</v>
      </c>
      <c r="D1505">
        <v>12</v>
      </c>
      <c r="E1505" t="s">
        <v>128</v>
      </c>
      <c r="F1505" t="s">
        <v>36</v>
      </c>
      <c r="G1505" t="str">
        <f t="shared" si="1"/>
        <v>Racing Bulls</v>
      </c>
      <c r="H1505">
        <v>18</v>
      </c>
      <c r="I1505">
        <v>0</v>
      </c>
    </row>
    <row r="1506" spans="1:11" x14ac:dyDescent="0.45">
      <c r="A1506" t="s">
        <v>30</v>
      </c>
      <c r="B1506" t="s">
        <v>109</v>
      </c>
      <c r="C1506" t="s">
        <v>31</v>
      </c>
      <c r="D1506">
        <v>12</v>
      </c>
      <c r="E1506" t="s">
        <v>128</v>
      </c>
      <c r="F1506" t="s">
        <v>10</v>
      </c>
      <c r="G1506" t="str">
        <f t="shared" si="1"/>
        <v>Kick Sauber</v>
      </c>
      <c r="H1506">
        <v>19</v>
      </c>
      <c r="I1506">
        <v>0</v>
      </c>
    </row>
    <row r="1507" spans="1:11" x14ac:dyDescent="0.45">
      <c r="A1507" t="s">
        <v>30</v>
      </c>
      <c r="B1507" t="s">
        <v>109</v>
      </c>
      <c r="C1507" t="s">
        <v>31</v>
      </c>
      <c r="D1507">
        <v>12</v>
      </c>
      <c r="E1507" t="s">
        <v>128</v>
      </c>
      <c r="F1507" t="s">
        <v>12</v>
      </c>
      <c r="G1507" t="str">
        <f t="shared" si="1"/>
        <v>Williams</v>
      </c>
      <c r="H1507">
        <v>20</v>
      </c>
      <c r="I1507">
        <v>0</v>
      </c>
    </row>
    <row r="1508" spans="1:11" x14ac:dyDescent="0.45">
      <c r="A1508" t="s">
        <v>30</v>
      </c>
      <c r="B1508" t="s">
        <v>109</v>
      </c>
      <c r="C1508" t="s">
        <v>31</v>
      </c>
      <c r="D1508">
        <v>13</v>
      </c>
      <c r="E1508" t="s">
        <v>168</v>
      </c>
      <c r="F1508" t="s">
        <v>34</v>
      </c>
      <c r="G1508" t="str">
        <f t="shared" si="1"/>
        <v>Mercedes</v>
      </c>
      <c r="H1508">
        <v>1</v>
      </c>
      <c r="I1508">
        <v>25</v>
      </c>
      <c r="J1508" s="10">
        <v>5.3289583333333335E-2</v>
      </c>
      <c r="K1508" s="11">
        <v>9.6721064814814825E-4</v>
      </c>
    </row>
    <row r="1509" spans="1:11" x14ac:dyDescent="0.45">
      <c r="A1509" t="s">
        <v>30</v>
      </c>
      <c r="B1509" t="s">
        <v>109</v>
      </c>
      <c r="C1509" t="s">
        <v>31</v>
      </c>
      <c r="D1509">
        <v>13</v>
      </c>
      <c r="E1509" t="s">
        <v>168</v>
      </c>
      <c r="F1509" t="s">
        <v>33</v>
      </c>
      <c r="G1509" t="str">
        <f t="shared" ref="G1509:G1527" si="2">VLOOKUP(F1509,$M$1408:$N$1427,2,FALSE)</f>
        <v>Red Bull</v>
      </c>
      <c r="H1509">
        <v>2</v>
      </c>
      <c r="I1509">
        <v>18</v>
      </c>
      <c r="J1509" s="10">
        <v>5.3919675925925926E-2</v>
      </c>
      <c r="K1509" s="11">
        <v>9.6833333333333331E-4</v>
      </c>
    </row>
    <row r="1510" spans="1:11" x14ac:dyDescent="0.45">
      <c r="A1510" t="s">
        <v>30</v>
      </c>
      <c r="B1510" t="s">
        <v>109</v>
      </c>
      <c r="C1510" t="s">
        <v>31</v>
      </c>
      <c r="D1510">
        <v>13</v>
      </c>
      <c r="E1510" t="s">
        <v>168</v>
      </c>
      <c r="F1510" t="s">
        <v>2</v>
      </c>
      <c r="G1510" t="str">
        <f t="shared" si="2"/>
        <v>Ferrari</v>
      </c>
      <c r="H1510">
        <v>3</v>
      </c>
      <c r="I1510">
        <v>15</v>
      </c>
      <c r="J1510" s="10">
        <v>5.3942164351851854E-2</v>
      </c>
      <c r="K1510" s="11">
        <v>9.8263888888888901E-4</v>
      </c>
    </row>
    <row r="1511" spans="1:11" x14ac:dyDescent="0.45">
      <c r="A1511" t="s">
        <v>30</v>
      </c>
      <c r="B1511" t="s">
        <v>109</v>
      </c>
      <c r="C1511" t="s">
        <v>31</v>
      </c>
      <c r="D1511">
        <v>13</v>
      </c>
      <c r="E1511" t="s">
        <v>168</v>
      </c>
      <c r="F1511" t="s">
        <v>1</v>
      </c>
      <c r="G1511" t="str">
        <f t="shared" si="2"/>
        <v>Red Bull</v>
      </c>
      <c r="H1511">
        <v>4</v>
      </c>
      <c r="I1511">
        <v>12</v>
      </c>
      <c r="J1511" s="10">
        <v>5.3988946759259263E-2</v>
      </c>
      <c r="K1511" s="11">
        <v>9.9053240740740742E-4</v>
      </c>
    </row>
    <row r="1512" spans="1:11" x14ac:dyDescent="0.45">
      <c r="A1512" t="s">
        <v>30</v>
      </c>
      <c r="B1512" t="s">
        <v>109</v>
      </c>
      <c r="C1512" t="s">
        <v>31</v>
      </c>
      <c r="D1512">
        <v>13</v>
      </c>
      <c r="E1512" t="s">
        <v>168</v>
      </c>
      <c r="F1512" t="s">
        <v>32</v>
      </c>
      <c r="G1512" t="str">
        <f t="shared" si="2"/>
        <v>Alpine</v>
      </c>
      <c r="H1512">
        <v>5</v>
      </c>
      <c r="I1512">
        <v>10</v>
      </c>
      <c r="J1512" s="10">
        <v>5.4000844907407405E-2</v>
      </c>
      <c r="K1512" s="11">
        <v>9.8120370370370375E-4</v>
      </c>
    </row>
    <row r="1513" spans="1:11" x14ac:dyDescent="0.45">
      <c r="A1513" t="s">
        <v>30</v>
      </c>
      <c r="B1513" t="s">
        <v>109</v>
      </c>
      <c r="C1513" t="s">
        <v>31</v>
      </c>
      <c r="D1513">
        <v>13</v>
      </c>
      <c r="E1513" t="s">
        <v>168</v>
      </c>
      <c r="F1513" t="s">
        <v>3</v>
      </c>
      <c r="G1513" t="str">
        <f t="shared" si="2"/>
        <v>McLaren</v>
      </c>
      <c r="H1513">
        <v>6</v>
      </c>
      <c r="I1513">
        <v>8</v>
      </c>
      <c r="J1513" s="10">
        <v>5.4079259259259264E-2</v>
      </c>
      <c r="K1513" s="11">
        <v>9.8618055555555568E-4</v>
      </c>
    </row>
    <row r="1514" spans="1:11" x14ac:dyDescent="0.45">
      <c r="A1514" t="s">
        <v>30</v>
      </c>
      <c r="B1514" t="s">
        <v>109</v>
      </c>
      <c r="C1514" t="s">
        <v>31</v>
      </c>
      <c r="D1514">
        <v>13</v>
      </c>
      <c r="E1514" t="s">
        <v>168</v>
      </c>
      <c r="F1514" t="s">
        <v>0</v>
      </c>
      <c r="G1514" t="str">
        <f t="shared" si="2"/>
        <v>Ferrari</v>
      </c>
      <c r="H1514">
        <v>7</v>
      </c>
      <c r="I1514">
        <v>6</v>
      </c>
      <c r="J1514" s="10">
        <v>5.4120150462962958E-2</v>
      </c>
      <c r="K1514" s="11">
        <v>9.907407407407406E-4</v>
      </c>
    </row>
    <row r="1515" spans="1:11" x14ac:dyDescent="0.45">
      <c r="A1515" t="s">
        <v>30</v>
      </c>
      <c r="B1515" t="s">
        <v>109</v>
      </c>
      <c r="C1515" t="s">
        <v>31</v>
      </c>
      <c r="D1515">
        <v>13</v>
      </c>
      <c r="E1515" t="s">
        <v>168</v>
      </c>
      <c r="F1515" t="s">
        <v>35</v>
      </c>
      <c r="G1515" t="str">
        <f t="shared" si="2"/>
        <v>Kick Sauber</v>
      </c>
      <c r="H1515">
        <v>8</v>
      </c>
      <c r="I1515">
        <v>4</v>
      </c>
      <c r="J1515" s="10">
        <v>5.4167152777777783E-2</v>
      </c>
      <c r="K1515" s="11">
        <v>9.8600694444444452E-4</v>
      </c>
    </row>
    <row r="1516" spans="1:11" x14ac:dyDescent="0.45">
      <c r="A1516" t="s">
        <v>30</v>
      </c>
      <c r="B1516" t="s">
        <v>109</v>
      </c>
      <c r="C1516" t="s">
        <v>31</v>
      </c>
      <c r="D1516">
        <v>13</v>
      </c>
      <c r="E1516" t="s">
        <v>168</v>
      </c>
      <c r="F1516" t="s">
        <v>7</v>
      </c>
      <c r="G1516" t="str">
        <f t="shared" si="2"/>
        <v>McLaren</v>
      </c>
      <c r="H1516">
        <v>9</v>
      </c>
      <c r="I1516">
        <v>2</v>
      </c>
      <c r="J1516" s="10">
        <v>5.4271226851851845E-2</v>
      </c>
      <c r="K1516" s="11">
        <v>9.9104166666666676E-4</v>
      </c>
    </row>
    <row r="1517" spans="1:11" x14ac:dyDescent="0.45">
      <c r="A1517" t="s">
        <v>30</v>
      </c>
      <c r="B1517" t="s">
        <v>109</v>
      </c>
      <c r="C1517" t="s">
        <v>31</v>
      </c>
      <c r="D1517">
        <v>13</v>
      </c>
      <c r="E1517" t="s">
        <v>168</v>
      </c>
      <c r="F1517" t="s">
        <v>9</v>
      </c>
      <c r="G1517" t="str">
        <f t="shared" si="2"/>
        <v>Haas</v>
      </c>
      <c r="H1517">
        <v>10</v>
      </c>
      <c r="I1517">
        <v>1</v>
      </c>
      <c r="J1517" s="10">
        <v>5.343755787037037E-2</v>
      </c>
      <c r="K1517" s="11">
        <v>1.0015046296296297E-3</v>
      </c>
    </row>
    <row r="1518" spans="1:11" x14ac:dyDescent="0.45">
      <c r="A1518" t="s">
        <v>30</v>
      </c>
      <c r="B1518" t="s">
        <v>109</v>
      </c>
      <c r="C1518" t="s">
        <v>31</v>
      </c>
      <c r="D1518">
        <v>13</v>
      </c>
      <c r="E1518" t="s">
        <v>168</v>
      </c>
      <c r="F1518" t="s">
        <v>5</v>
      </c>
      <c r="G1518" t="str">
        <f t="shared" si="2"/>
        <v>Williams</v>
      </c>
      <c r="H1518">
        <v>11</v>
      </c>
      <c r="I1518">
        <v>0</v>
      </c>
      <c r="J1518" s="10">
        <v>5.3307534722222216E-2</v>
      </c>
      <c r="K1518" s="11">
        <v>1.0099074074074075E-3</v>
      </c>
    </row>
    <row r="1519" spans="1:11" x14ac:dyDescent="0.45">
      <c r="A1519" t="s">
        <v>30</v>
      </c>
      <c r="B1519" t="s">
        <v>109</v>
      </c>
      <c r="C1519" t="s">
        <v>31</v>
      </c>
      <c r="D1519">
        <v>13</v>
      </c>
      <c r="E1519" t="s">
        <v>168</v>
      </c>
      <c r="F1519" t="s">
        <v>6</v>
      </c>
      <c r="G1519" t="str">
        <f t="shared" si="2"/>
        <v>Aston Martin</v>
      </c>
      <c r="H1519">
        <v>12</v>
      </c>
      <c r="I1519">
        <v>0</v>
      </c>
      <c r="J1519" s="10">
        <v>5.3336643518518516E-2</v>
      </c>
      <c r="K1519" s="11">
        <v>1.0014351851851853E-3</v>
      </c>
    </row>
    <row r="1520" spans="1:11" x14ac:dyDescent="0.45">
      <c r="A1520" t="s">
        <v>30</v>
      </c>
      <c r="B1520" t="s">
        <v>109</v>
      </c>
      <c r="C1520" t="s">
        <v>31</v>
      </c>
      <c r="D1520">
        <v>13</v>
      </c>
      <c r="E1520" t="s">
        <v>168</v>
      </c>
      <c r="F1520" t="s">
        <v>10</v>
      </c>
      <c r="G1520" t="str">
        <f t="shared" si="2"/>
        <v>Kick Sauber</v>
      </c>
      <c r="H1520">
        <v>13</v>
      </c>
      <c r="I1520">
        <v>0</v>
      </c>
      <c r="J1520" s="10">
        <v>5.3458877314814815E-2</v>
      </c>
      <c r="K1520" s="11">
        <v>9.9278935185185191E-4</v>
      </c>
    </row>
    <row r="1521" spans="1:11" x14ac:dyDescent="0.45">
      <c r="A1521" t="s">
        <v>30</v>
      </c>
      <c r="B1521" t="s">
        <v>109</v>
      </c>
      <c r="C1521" t="s">
        <v>31</v>
      </c>
      <c r="D1521">
        <v>13</v>
      </c>
      <c r="E1521" t="s">
        <v>168</v>
      </c>
      <c r="F1521" t="s">
        <v>8</v>
      </c>
      <c r="G1521" t="str">
        <f t="shared" si="2"/>
        <v>Alpine</v>
      </c>
      <c r="H1521">
        <v>14</v>
      </c>
      <c r="I1521">
        <v>0</v>
      </c>
      <c r="J1521" s="10">
        <v>5.3532187499999995E-2</v>
      </c>
      <c r="K1521" s="11">
        <v>9.977083333333333E-4</v>
      </c>
    </row>
    <row r="1522" spans="1:11" x14ac:dyDescent="0.45">
      <c r="A1522" t="s">
        <v>30</v>
      </c>
      <c r="B1522" t="s">
        <v>109</v>
      </c>
      <c r="C1522" t="s">
        <v>31</v>
      </c>
      <c r="D1522">
        <v>13</v>
      </c>
      <c r="E1522" t="s">
        <v>168</v>
      </c>
      <c r="F1522" t="s">
        <v>14</v>
      </c>
      <c r="G1522" t="str">
        <f t="shared" si="2"/>
        <v>Haas</v>
      </c>
      <c r="H1522">
        <v>15</v>
      </c>
      <c r="I1522">
        <v>0</v>
      </c>
      <c r="J1522" s="10">
        <v>5.3568912037037043E-2</v>
      </c>
      <c r="K1522" s="11">
        <v>9.9244212962962958E-4</v>
      </c>
    </row>
    <row r="1523" spans="1:11" x14ac:dyDescent="0.45">
      <c r="A1523" t="s">
        <v>30</v>
      </c>
      <c r="B1523" t="s">
        <v>109</v>
      </c>
      <c r="C1523" t="s">
        <v>31</v>
      </c>
      <c r="D1523">
        <v>13</v>
      </c>
      <c r="E1523" t="s">
        <v>168</v>
      </c>
      <c r="F1523" t="s">
        <v>12</v>
      </c>
      <c r="G1523" t="str">
        <f t="shared" si="2"/>
        <v>Williams</v>
      </c>
      <c r="H1523">
        <v>16</v>
      </c>
      <c r="I1523">
        <v>0</v>
      </c>
      <c r="J1523" s="10">
        <v>5.3636840277777778E-2</v>
      </c>
      <c r="K1523" s="11">
        <v>9.9120370370370378E-4</v>
      </c>
    </row>
    <row r="1524" spans="1:11" x14ac:dyDescent="0.45">
      <c r="A1524" t="s">
        <v>30</v>
      </c>
      <c r="B1524" t="s">
        <v>109</v>
      </c>
      <c r="C1524" t="s">
        <v>31</v>
      </c>
      <c r="D1524">
        <v>13</v>
      </c>
      <c r="E1524" t="s">
        <v>168</v>
      </c>
      <c r="F1524" t="s">
        <v>13</v>
      </c>
      <c r="G1524" t="str">
        <f t="shared" si="2"/>
        <v>Racing Bulls</v>
      </c>
      <c r="H1524">
        <v>17</v>
      </c>
      <c r="I1524">
        <v>0</v>
      </c>
      <c r="J1524" s="10">
        <v>5.3662118055555555E-2</v>
      </c>
      <c r="K1524" s="11">
        <v>1.0007754629629629E-3</v>
      </c>
    </row>
    <row r="1525" spans="1:11" x14ac:dyDescent="0.45">
      <c r="A1525" t="s">
        <v>30</v>
      </c>
      <c r="B1525" t="s">
        <v>109</v>
      </c>
      <c r="C1525" t="s">
        <v>31</v>
      </c>
      <c r="D1525">
        <v>13</v>
      </c>
      <c r="E1525" t="s">
        <v>168</v>
      </c>
      <c r="F1525" t="s">
        <v>11</v>
      </c>
      <c r="G1525" t="str">
        <f t="shared" si="2"/>
        <v>Aston Martin</v>
      </c>
      <c r="H1525">
        <v>18</v>
      </c>
      <c r="I1525">
        <v>0</v>
      </c>
      <c r="J1525" s="10">
        <v>5.3717048611111116E-2</v>
      </c>
      <c r="K1525" s="11">
        <v>9.9468750000000013E-4</v>
      </c>
    </row>
    <row r="1526" spans="1:11" x14ac:dyDescent="0.45">
      <c r="A1526" t="s">
        <v>30</v>
      </c>
      <c r="B1526" t="s">
        <v>109</v>
      </c>
      <c r="C1526" t="s">
        <v>31</v>
      </c>
      <c r="D1526">
        <v>13</v>
      </c>
      <c r="E1526" t="s">
        <v>168</v>
      </c>
      <c r="F1526" t="s">
        <v>36</v>
      </c>
      <c r="G1526" t="str">
        <f t="shared" si="2"/>
        <v>Racing Bulls</v>
      </c>
      <c r="H1526">
        <v>19</v>
      </c>
      <c r="I1526">
        <v>0</v>
      </c>
      <c r="J1526" s="10">
        <v>5.4284421296296299E-2</v>
      </c>
      <c r="K1526" s="11">
        <v>9.8986111111111106E-4</v>
      </c>
    </row>
    <row r="1527" spans="1:11" x14ac:dyDescent="0.45">
      <c r="A1527" t="s">
        <v>30</v>
      </c>
      <c r="B1527" t="s">
        <v>109</v>
      </c>
      <c r="C1527" t="s">
        <v>31</v>
      </c>
      <c r="D1527">
        <v>13</v>
      </c>
      <c r="E1527" t="s">
        <v>168</v>
      </c>
      <c r="F1527" t="s">
        <v>4</v>
      </c>
      <c r="G1527" t="str">
        <f t="shared" si="2"/>
        <v>Mercedes</v>
      </c>
      <c r="H1527">
        <v>20</v>
      </c>
      <c r="I1527">
        <v>0</v>
      </c>
      <c r="J1527" s="10">
        <v>2.6500266203703705E-2</v>
      </c>
      <c r="K1527" s="11">
        <v>1.0181944444444446E-3</v>
      </c>
    </row>
    <row r="1528" spans="1:11" x14ac:dyDescent="0.45">
      <c r="E1528" t="s">
        <v>37</v>
      </c>
      <c r="I1528" t="s">
        <v>37</v>
      </c>
    </row>
    <row r="1529" spans="1:11" x14ac:dyDescent="0.45">
      <c r="E1529" t="s">
        <v>37</v>
      </c>
      <c r="I1529" t="s">
        <v>37</v>
      </c>
    </row>
    <row r="1530" spans="1:11" x14ac:dyDescent="0.45">
      <c r="E1530" t="s">
        <v>37</v>
      </c>
      <c r="I1530" t="s">
        <v>37</v>
      </c>
    </row>
    <row r="1531" spans="1:11" x14ac:dyDescent="0.45">
      <c r="E1531" t="s">
        <v>37</v>
      </c>
      <c r="I1531" t="s">
        <v>37</v>
      </c>
    </row>
    <row r="1532" spans="1:11" x14ac:dyDescent="0.45">
      <c r="E1532" t="s">
        <v>37</v>
      </c>
      <c r="I1532" t="s">
        <v>37</v>
      </c>
    </row>
    <row r="1533" spans="1:11" x14ac:dyDescent="0.45">
      <c r="E1533" t="s">
        <v>37</v>
      </c>
      <c r="I1533" t="s">
        <v>37</v>
      </c>
    </row>
    <row r="1534" spans="1:11" x14ac:dyDescent="0.45">
      <c r="E1534" t="s">
        <v>37</v>
      </c>
      <c r="I1534" t="s">
        <v>37</v>
      </c>
    </row>
    <row r="1535" spans="1:11" x14ac:dyDescent="0.45">
      <c r="E1535" t="s">
        <v>37</v>
      </c>
      <c r="I1535" t="s">
        <v>37</v>
      </c>
    </row>
    <row r="1536" spans="1:11" x14ac:dyDescent="0.45">
      <c r="E1536" t="s">
        <v>37</v>
      </c>
      <c r="I1536" t="s">
        <v>37</v>
      </c>
    </row>
    <row r="1537" spans="5:9" x14ac:dyDescent="0.45">
      <c r="E1537" t="s">
        <v>37</v>
      </c>
      <c r="I1537" t="s">
        <v>37</v>
      </c>
    </row>
    <row r="1538" spans="5:9" x14ac:dyDescent="0.45">
      <c r="E1538" t="s">
        <v>37</v>
      </c>
      <c r="I1538" t="s">
        <v>37</v>
      </c>
    </row>
    <row r="1539" spans="5:9" x14ac:dyDescent="0.45">
      <c r="E1539" t="s">
        <v>37</v>
      </c>
      <c r="I1539" t="s">
        <v>37</v>
      </c>
    </row>
    <row r="1540" spans="5:9" x14ac:dyDescent="0.45">
      <c r="E1540" t="s">
        <v>37</v>
      </c>
      <c r="I1540" t="s">
        <v>37</v>
      </c>
    </row>
    <row r="1541" spans="5:9" x14ac:dyDescent="0.45">
      <c r="E1541" t="s">
        <v>37</v>
      </c>
      <c r="I1541" t="s">
        <v>37</v>
      </c>
    </row>
    <row r="1542" spans="5:9" x14ac:dyDescent="0.45">
      <c r="E1542" t="s">
        <v>37</v>
      </c>
      <c r="I1542" t="s">
        <v>37</v>
      </c>
    </row>
    <row r="1543" spans="5:9" x14ac:dyDescent="0.45">
      <c r="E1543" t="s">
        <v>37</v>
      </c>
      <c r="I1543" t="s">
        <v>37</v>
      </c>
    </row>
    <row r="1544" spans="5:9" x14ac:dyDescent="0.45">
      <c r="E1544" t="s">
        <v>37</v>
      </c>
      <c r="I1544" t="s">
        <v>37</v>
      </c>
    </row>
    <row r="1545" spans="5:9" x14ac:dyDescent="0.45">
      <c r="E1545" t="s">
        <v>37</v>
      </c>
      <c r="I1545" t="s">
        <v>37</v>
      </c>
    </row>
    <row r="1546" spans="5:9" x14ac:dyDescent="0.45">
      <c r="E1546" t="s">
        <v>37</v>
      </c>
      <c r="I1546" t="s">
        <v>37</v>
      </c>
    </row>
    <row r="1547" spans="5:9" x14ac:dyDescent="0.45">
      <c r="E1547" t="s">
        <v>37</v>
      </c>
      <c r="I1547" t="s">
        <v>37</v>
      </c>
    </row>
    <row r="1548" spans="5:9" x14ac:dyDescent="0.45">
      <c r="E1548" t="s">
        <v>37</v>
      </c>
      <c r="I1548" t="s">
        <v>37</v>
      </c>
    </row>
    <row r="1549" spans="5:9" x14ac:dyDescent="0.45">
      <c r="E1549" t="s">
        <v>37</v>
      </c>
      <c r="I1549" t="s">
        <v>37</v>
      </c>
    </row>
    <row r="1550" spans="5:9" x14ac:dyDescent="0.45">
      <c r="E1550" t="s">
        <v>37</v>
      </c>
      <c r="I1550" t="s">
        <v>37</v>
      </c>
    </row>
    <row r="1551" spans="5:9" x14ac:dyDescent="0.45">
      <c r="E1551" t="s">
        <v>37</v>
      </c>
      <c r="I1551" t="s">
        <v>37</v>
      </c>
    </row>
    <row r="1552" spans="5:9" x14ac:dyDescent="0.45">
      <c r="E1552" t="s">
        <v>37</v>
      </c>
      <c r="I1552" t="s">
        <v>37</v>
      </c>
    </row>
    <row r="1553" spans="5:9" x14ac:dyDescent="0.45">
      <c r="E1553" t="s">
        <v>37</v>
      </c>
      <c r="I1553" t="s">
        <v>37</v>
      </c>
    </row>
    <row r="1554" spans="5:9" x14ac:dyDescent="0.45">
      <c r="E1554" t="s">
        <v>37</v>
      </c>
      <c r="I1554" t="s">
        <v>37</v>
      </c>
    </row>
    <row r="1555" spans="5:9" x14ac:dyDescent="0.45">
      <c r="E1555" t="s">
        <v>37</v>
      </c>
      <c r="I1555" t="s">
        <v>37</v>
      </c>
    </row>
    <row r="1556" spans="5:9" x14ac:dyDescent="0.45">
      <c r="E1556" t="s">
        <v>37</v>
      </c>
      <c r="I1556" t="s">
        <v>37</v>
      </c>
    </row>
    <row r="1557" spans="5:9" x14ac:dyDescent="0.45">
      <c r="E1557" t="s">
        <v>37</v>
      </c>
      <c r="I1557" t="s">
        <v>37</v>
      </c>
    </row>
    <row r="1558" spans="5:9" x14ac:dyDescent="0.45">
      <c r="E1558" t="s">
        <v>37</v>
      </c>
      <c r="I1558" t="s">
        <v>37</v>
      </c>
    </row>
    <row r="1559" spans="5:9" x14ac:dyDescent="0.45">
      <c r="E1559" t="s">
        <v>37</v>
      </c>
      <c r="I1559" t="s">
        <v>37</v>
      </c>
    </row>
    <row r="1560" spans="5:9" x14ac:dyDescent="0.45">
      <c r="E1560" t="s">
        <v>37</v>
      </c>
      <c r="I1560" t="s">
        <v>37</v>
      </c>
    </row>
    <row r="1561" spans="5:9" x14ac:dyDescent="0.45">
      <c r="E1561" t="s">
        <v>37</v>
      </c>
      <c r="I1561" t="s">
        <v>37</v>
      </c>
    </row>
    <row r="1562" spans="5:9" x14ac:dyDescent="0.45">
      <c r="E1562" t="s">
        <v>37</v>
      </c>
      <c r="I1562" t="s">
        <v>37</v>
      </c>
    </row>
    <row r="1563" spans="5:9" x14ac:dyDescent="0.45">
      <c r="E1563" t="s">
        <v>37</v>
      </c>
      <c r="I1563" t="s">
        <v>37</v>
      </c>
    </row>
    <row r="1564" spans="5:9" x14ac:dyDescent="0.45">
      <c r="E1564" t="s">
        <v>37</v>
      </c>
      <c r="I1564" t="s">
        <v>37</v>
      </c>
    </row>
    <row r="1565" spans="5:9" x14ac:dyDescent="0.45">
      <c r="E1565" t="s">
        <v>37</v>
      </c>
      <c r="I1565" t="s">
        <v>37</v>
      </c>
    </row>
    <row r="1566" spans="5:9" x14ac:dyDescent="0.45">
      <c r="E1566" t="s">
        <v>37</v>
      </c>
      <c r="I1566" t="s">
        <v>37</v>
      </c>
    </row>
    <row r="1567" spans="5:9" x14ac:dyDescent="0.45">
      <c r="E1567" t="s">
        <v>37</v>
      </c>
      <c r="I1567" t="s">
        <v>37</v>
      </c>
    </row>
    <row r="1568" spans="5:9" x14ac:dyDescent="0.45">
      <c r="E1568" t="s">
        <v>37</v>
      </c>
      <c r="I1568" t="s">
        <v>37</v>
      </c>
    </row>
    <row r="1569" spans="5:9" x14ac:dyDescent="0.45">
      <c r="E1569" t="s">
        <v>37</v>
      </c>
      <c r="I1569" t="s">
        <v>37</v>
      </c>
    </row>
    <row r="1570" spans="5:9" x14ac:dyDescent="0.45">
      <c r="E1570" t="s">
        <v>37</v>
      </c>
      <c r="I1570" t="s">
        <v>37</v>
      </c>
    </row>
    <row r="1571" spans="5:9" x14ac:dyDescent="0.45">
      <c r="E1571" t="s">
        <v>37</v>
      </c>
      <c r="I1571" t="s">
        <v>37</v>
      </c>
    </row>
    <row r="1572" spans="5:9" x14ac:dyDescent="0.45">
      <c r="E1572" t="s">
        <v>37</v>
      </c>
      <c r="I1572" t="s">
        <v>37</v>
      </c>
    </row>
    <row r="1573" spans="5:9" x14ac:dyDescent="0.45">
      <c r="E1573" t="s">
        <v>37</v>
      </c>
      <c r="I1573" t="s">
        <v>37</v>
      </c>
    </row>
    <row r="1574" spans="5:9" x14ac:dyDescent="0.45">
      <c r="E1574" t="s">
        <v>37</v>
      </c>
      <c r="I1574" t="s">
        <v>37</v>
      </c>
    </row>
    <row r="1575" spans="5:9" x14ac:dyDescent="0.45">
      <c r="E1575" t="s">
        <v>37</v>
      </c>
      <c r="I1575" t="s">
        <v>37</v>
      </c>
    </row>
    <row r="1576" spans="5:9" x14ac:dyDescent="0.45">
      <c r="E1576" t="s">
        <v>37</v>
      </c>
      <c r="I1576" t="s">
        <v>37</v>
      </c>
    </row>
    <row r="1577" spans="5:9" x14ac:dyDescent="0.45">
      <c r="E1577" t="s">
        <v>37</v>
      </c>
      <c r="I1577" t="s">
        <v>37</v>
      </c>
    </row>
    <row r="1578" spans="5:9" x14ac:dyDescent="0.45">
      <c r="E1578" t="s">
        <v>37</v>
      </c>
      <c r="I1578" t="s">
        <v>37</v>
      </c>
    </row>
    <row r="1579" spans="5:9" x14ac:dyDescent="0.45">
      <c r="E1579" t="s">
        <v>37</v>
      </c>
      <c r="I1579" t="s">
        <v>37</v>
      </c>
    </row>
    <row r="1580" spans="5:9" x14ac:dyDescent="0.45">
      <c r="E1580" t="s">
        <v>37</v>
      </c>
      <c r="I1580" t="s">
        <v>37</v>
      </c>
    </row>
    <row r="1581" spans="5:9" x14ac:dyDescent="0.45">
      <c r="E1581" t="s">
        <v>37</v>
      </c>
      <c r="I1581" t="s">
        <v>37</v>
      </c>
    </row>
    <row r="1582" spans="5:9" x14ac:dyDescent="0.45">
      <c r="E1582" t="s">
        <v>37</v>
      </c>
      <c r="I1582" t="s">
        <v>37</v>
      </c>
    </row>
    <row r="1583" spans="5:9" x14ac:dyDescent="0.45">
      <c r="E1583" t="s">
        <v>37</v>
      </c>
      <c r="I1583" t="s">
        <v>37</v>
      </c>
    </row>
    <row r="1584" spans="5:9" x14ac:dyDescent="0.45">
      <c r="E1584" t="s">
        <v>37</v>
      </c>
      <c r="I1584" t="s">
        <v>37</v>
      </c>
    </row>
    <row r="1585" spans="5:9" x14ac:dyDescent="0.45">
      <c r="E1585" t="s">
        <v>37</v>
      </c>
      <c r="I1585" t="s">
        <v>37</v>
      </c>
    </row>
    <row r="1586" spans="5:9" x14ac:dyDescent="0.45">
      <c r="E1586" t="s">
        <v>37</v>
      </c>
      <c r="I1586" t="s">
        <v>37</v>
      </c>
    </row>
    <row r="1587" spans="5:9" x14ac:dyDescent="0.45">
      <c r="E1587" t="s">
        <v>37</v>
      </c>
      <c r="I1587" t="s">
        <v>37</v>
      </c>
    </row>
    <row r="1588" spans="5:9" x14ac:dyDescent="0.45">
      <c r="E1588" t="s">
        <v>37</v>
      </c>
      <c r="I1588" t="s">
        <v>37</v>
      </c>
    </row>
    <row r="1589" spans="5:9" x14ac:dyDescent="0.45">
      <c r="E1589" t="s">
        <v>37</v>
      </c>
      <c r="I1589" t="s">
        <v>37</v>
      </c>
    </row>
    <row r="1590" spans="5:9" x14ac:dyDescent="0.45">
      <c r="E1590" t="s">
        <v>37</v>
      </c>
      <c r="I1590" t="s">
        <v>37</v>
      </c>
    </row>
    <row r="1591" spans="5:9" x14ac:dyDescent="0.45">
      <c r="E1591" t="s">
        <v>37</v>
      </c>
      <c r="I1591" t="s">
        <v>37</v>
      </c>
    </row>
    <row r="1592" spans="5:9" x14ac:dyDescent="0.45">
      <c r="E1592" t="s">
        <v>37</v>
      </c>
      <c r="I1592" t="s">
        <v>37</v>
      </c>
    </row>
    <row r="1593" spans="5:9" x14ac:dyDescent="0.45">
      <c r="E1593" t="s">
        <v>37</v>
      </c>
      <c r="I1593" t="s">
        <v>37</v>
      </c>
    </row>
    <row r="1594" spans="5:9" x14ac:dyDescent="0.45">
      <c r="E1594" t="s">
        <v>37</v>
      </c>
      <c r="I1594" t="s">
        <v>37</v>
      </c>
    </row>
    <row r="1595" spans="5:9" x14ac:dyDescent="0.45">
      <c r="E1595" t="s">
        <v>37</v>
      </c>
      <c r="I1595" t="s">
        <v>37</v>
      </c>
    </row>
    <row r="1596" spans="5:9" x14ac:dyDescent="0.45">
      <c r="E1596" t="s">
        <v>37</v>
      </c>
      <c r="I1596" t="s">
        <v>37</v>
      </c>
    </row>
    <row r="1597" spans="5:9" x14ac:dyDescent="0.45">
      <c r="E1597" t="s">
        <v>37</v>
      </c>
      <c r="I1597" t="s">
        <v>37</v>
      </c>
    </row>
    <row r="1598" spans="5:9" x14ac:dyDescent="0.45">
      <c r="E1598" t="s">
        <v>37</v>
      </c>
      <c r="I1598" t="s">
        <v>37</v>
      </c>
    </row>
    <row r="1599" spans="5:9" x14ac:dyDescent="0.45">
      <c r="E1599" t="s">
        <v>37</v>
      </c>
      <c r="I1599" t="s">
        <v>37</v>
      </c>
    </row>
    <row r="1600" spans="5:9" x14ac:dyDescent="0.45">
      <c r="E1600" t="s">
        <v>37</v>
      </c>
      <c r="I1600" t="s">
        <v>37</v>
      </c>
    </row>
    <row r="1601" spans="5:9" x14ac:dyDescent="0.45">
      <c r="E1601" t="s">
        <v>37</v>
      </c>
      <c r="I1601" t="s">
        <v>37</v>
      </c>
    </row>
    <row r="1602" spans="5:9" x14ac:dyDescent="0.45">
      <c r="E1602" t="s">
        <v>37</v>
      </c>
      <c r="I1602" t="s">
        <v>37</v>
      </c>
    </row>
    <row r="1603" spans="5:9" x14ac:dyDescent="0.45">
      <c r="E1603" t="s">
        <v>37</v>
      </c>
      <c r="I1603" t="s">
        <v>37</v>
      </c>
    </row>
    <row r="1604" spans="5:9" x14ac:dyDescent="0.45">
      <c r="E1604" t="s">
        <v>37</v>
      </c>
      <c r="I1604" t="s">
        <v>37</v>
      </c>
    </row>
    <row r="1605" spans="5:9" x14ac:dyDescent="0.45">
      <c r="E1605" t="s">
        <v>37</v>
      </c>
      <c r="I1605" t="s">
        <v>37</v>
      </c>
    </row>
    <row r="1606" spans="5:9" x14ac:dyDescent="0.45">
      <c r="E1606" t="s">
        <v>37</v>
      </c>
      <c r="I1606" t="s">
        <v>37</v>
      </c>
    </row>
    <row r="1607" spans="5:9" x14ac:dyDescent="0.45">
      <c r="E1607" t="s">
        <v>37</v>
      </c>
      <c r="I1607" t="s">
        <v>37</v>
      </c>
    </row>
    <row r="1608" spans="5:9" x14ac:dyDescent="0.45">
      <c r="E1608" t="s">
        <v>37</v>
      </c>
      <c r="I1608" t="s">
        <v>37</v>
      </c>
    </row>
    <row r="1609" spans="5:9" x14ac:dyDescent="0.45">
      <c r="E1609" t="s">
        <v>37</v>
      </c>
      <c r="I1609" t="s">
        <v>37</v>
      </c>
    </row>
    <row r="1610" spans="5:9" x14ac:dyDescent="0.45">
      <c r="E1610" t="s">
        <v>37</v>
      </c>
      <c r="I1610" t="s">
        <v>37</v>
      </c>
    </row>
    <row r="1611" spans="5:9" x14ac:dyDescent="0.45">
      <c r="E1611" t="s">
        <v>37</v>
      </c>
      <c r="I1611" t="s">
        <v>37</v>
      </c>
    </row>
    <row r="1612" spans="5:9" x14ac:dyDescent="0.45">
      <c r="E1612" t="s">
        <v>37</v>
      </c>
      <c r="I1612" t="s">
        <v>37</v>
      </c>
    </row>
    <row r="1613" spans="5:9" x14ac:dyDescent="0.45">
      <c r="E1613" t="s">
        <v>37</v>
      </c>
      <c r="I1613" t="s">
        <v>37</v>
      </c>
    </row>
    <row r="1614" spans="5:9" x14ac:dyDescent="0.45">
      <c r="E1614" t="s">
        <v>37</v>
      </c>
      <c r="I1614" t="s">
        <v>37</v>
      </c>
    </row>
    <row r="1615" spans="5:9" x14ac:dyDescent="0.45">
      <c r="E1615" t="s">
        <v>37</v>
      </c>
      <c r="I1615" t="s">
        <v>37</v>
      </c>
    </row>
    <row r="1616" spans="5:9" x14ac:dyDescent="0.45">
      <c r="E1616" t="s">
        <v>37</v>
      </c>
      <c r="I1616" t="s">
        <v>37</v>
      </c>
    </row>
    <row r="1617" spans="5:9" x14ac:dyDescent="0.45">
      <c r="E1617" t="s">
        <v>37</v>
      </c>
      <c r="I1617" t="s">
        <v>37</v>
      </c>
    </row>
    <row r="1618" spans="5:9" x14ac:dyDescent="0.45">
      <c r="E1618" t="s">
        <v>37</v>
      </c>
      <c r="I1618" t="s">
        <v>37</v>
      </c>
    </row>
    <row r="1619" spans="5:9" x14ac:dyDescent="0.45">
      <c r="E1619" t="s">
        <v>37</v>
      </c>
      <c r="I1619" t="s">
        <v>37</v>
      </c>
    </row>
    <row r="1620" spans="5:9" x14ac:dyDescent="0.45">
      <c r="E1620" t="s">
        <v>37</v>
      </c>
      <c r="I1620" t="s">
        <v>37</v>
      </c>
    </row>
    <row r="1621" spans="5:9" x14ac:dyDescent="0.45">
      <c r="E1621" t="s">
        <v>37</v>
      </c>
      <c r="I1621" t="s">
        <v>37</v>
      </c>
    </row>
    <row r="1622" spans="5:9" x14ac:dyDescent="0.45">
      <c r="E1622" t="s">
        <v>37</v>
      </c>
      <c r="I1622" t="s">
        <v>37</v>
      </c>
    </row>
    <row r="1623" spans="5:9" x14ac:dyDescent="0.45">
      <c r="E1623" t="s">
        <v>37</v>
      </c>
      <c r="I1623" t="s">
        <v>37</v>
      </c>
    </row>
    <row r="1624" spans="5:9" x14ac:dyDescent="0.45">
      <c r="E1624" t="s">
        <v>37</v>
      </c>
      <c r="I1624" t="s">
        <v>37</v>
      </c>
    </row>
    <row r="1625" spans="5:9" x14ac:dyDescent="0.45">
      <c r="E1625" t="s">
        <v>37</v>
      </c>
      <c r="I1625" t="s">
        <v>37</v>
      </c>
    </row>
    <row r="1626" spans="5:9" x14ac:dyDescent="0.45">
      <c r="E1626" t="s">
        <v>37</v>
      </c>
      <c r="I1626" t="s">
        <v>37</v>
      </c>
    </row>
    <row r="1627" spans="5:9" x14ac:dyDescent="0.45">
      <c r="E1627" t="s">
        <v>37</v>
      </c>
      <c r="I1627" t="s">
        <v>37</v>
      </c>
    </row>
    <row r="1628" spans="5:9" x14ac:dyDescent="0.45">
      <c r="E1628" t="s">
        <v>37</v>
      </c>
      <c r="I1628" t="s">
        <v>37</v>
      </c>
    </row>
    <row r="1629" spans="5:9" x14ac:dyDescent="0.45">
      <c r="E1629" t="s">
        <v>37</v>
      </c>
      <c r="I1629" t="s">
        <v>37</v>
      </c>
    </row>
    <row r="1630" spans="5:9" x14ac:dyDescent="0.45">
      <c r="E1630" t="s">
        <v>37</v>
      </c>
      <c r="I1630" t="s">
        <v>37</v>
      </c>
    </row>
    <row r="1631" spans="5:9" x14ac:dyDescent="0.45">
      <c r="E1631" t="s">
        <v>37</v>
      </c>
      <c r="I1631" t="s">
        <v>37</v>
      </c>
    </row>
    <row r="1632" spans="5:9" x14ac:dyDescent="0.45">
      <c r="E1632" t="s">
        <v>37</v>
      </c>
      <c r="I1632" t="s">
        <v>37</v>
      </c>
    </row>
    <row r="1633" spans="5:9" x14ac:dyDescent="0.45">
      <c r="E1633" t="s">
        <v>37</v>
      </c>
      <c r="I1633" t="s">
        <v>37</v>
      </c>
    </row>
    <row r="1634" spans="5:9" x14ac:dyDescent="0.45">
      <c r="E1634" t="s">
        <v>37</v>
      </c>
      <c r="I1634" t="s">
        <v>37</v>
      </c>
    </row>
    <row r="1635" spans="5:9" x14ac:dyDescent="0.45">
      <c r="E1635" t="s">
        <v>37</v>
      </c>
      <c r="I1635" t="s">
        <v>37</v>
      </c>
    </row>
    <row r="1636" spans="5:9" x14ac:dyDescent="0.45">
      <c r="E1636" t="s">
        <v>37</v>
      </c>
      <c r="I1636" t="s">
        <v>37</v>
      </c>
    </row>
    <row r="1637" spans="5:9" x14ac:dyDescent="0.45">
      <c r="E1637" t="s">
        <v>37</v>
      </c>
      <c r="I1637" t="s">
        <v>37</v>
      </c>
    </row>
    <row r="1638" spans="5:9" x14ac:dyDescent="0.45">
      <c r="E1638" t="s">
        <v>37</v>
      </c>
      <c r="I1638" t="s">
        <v>37</v>
      </c>
    </row>
    <row r="1639" spans="5:9" x14ac:dyDescent="0.45">
      <c r="E1639" t="s">
        <v>37</v>
      </c>
      <c r="I1639" t="s">
        <v>37</v>
      </c>
    </row>
    <row r="1640" spans="5:9" x14ac:dyDescent="0.45">
      <c r="E1640" t="s">
        <v>37</v>
      </c>
      <c r="I1640" t="s">
        <v>37</v>
      </c>
    </row>
    <row r="1641" spans="5:9" x14ac:dyDescent="0.45">
      <c r="E1641" t="s">
        <v>37</v>
      </c>
      <c r="I1641" t="s">
        <v>37</v>
      </c>
    </row>
    <row r="1642" spans="5:9" x14ac:dyDescent="0.45">
      <c r="E1642" t="s">
        <v>37</v>
      </c>
      <c r="I1642" t="s">
        <v>37</v>
      </c>
    </row>
    <row r="1643" spans="5:9" x14ac:dyDescent="0.45">
      <c r="E1643" t="s">
        <v>37</v>
      </c>
      <c r="I1643" t="s">
        <v>37</v>
      </c>
    </row>
    <row r="1644" spans="5:9" x14ac:dyDescent="0.45">
      <c r="E1644" t="s">
        <v>37</v>
      </c>
      <c r="I1644" t="s">
        <v>37</v>
      </c>
    </row>
    <row r="1645" spans="5:9" x14ac:dyDescent="0.45">
      <c r="E1645" t="s">
        <v>37</v>
      </c>
      <c r="I1645" t="s">
        <v>37</v>
      </c>
    </row>
    <row r="1646" spans="5:9" x14ac:dyDescent="0.45">
      <c r="E1646" t="s">
        <v>37</v>
      </c>
      <c r="I1646" t="s">
        <v>37</v>
      </c>
    </row>
    <row r="1647" spans="5:9" x14ac:dyDescent="0.45">
      <c r="E1647" t="s">
        <v>37</v>
      </c>
      <c r="I1647" t="s">
        <v>37</v>
      </c>
    </row>
    <row r="1648" spans="5:9" x14ac:dyDescent="0.45">
      <c r="E1648" t="s">
        <v>37</v>
      </c>
      <c r="I1648" t="s">
        <v>37</v>
      </c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topLeftCell="A8" workbookViewId="0">
      <selection activeCell="A25" sqref="A25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193</v>
      </c>
      <c r="D1" s="7" t="s">
        <v>26</v>
      </c>
      <c r="E1" s="7" t="s">
        <v>153</v>
      </c>
      <c r="F1" s="7" t="s">
        <v>194</v>
      </c>
      <c r="K1" s="8" t="s">
        <v>26</v>
      </c>
      <c r="L1" s="8" t="s">
        <v>153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195</v>
      </c>
      <c r="K2" t="s">
        <v>187</v>
      </c>
      <c r="L2" t="s">
        <v>164</v>
      </c>
    </row>
    <row r="3" spans="1:12" x14ac:dyDescent="0.45">
      <c r="A3" t="s">
        <v>31</v>
      </c>
      <c r="B3">
        <f t="shared" ref="B3:B24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195</v>
      </c>
      <c r="K3" t="s">
        <v>129</v>
      </c>
      <c r="L3" t="s">
        <v>178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195</v>
      </c>
      <c r="K4" t="s">
        <v>115</v>
      </c>
      <c r="L4" t="s">
        <v>154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195</v>
      </c>
      <c r="K5" t="s">
        <v>126</v>
      </c>
      <c r="L5" t="s">
        <v>163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195</v>
      </c>
      <c r="K6" t="s">
        <v>122</v>
      </c>
      <c r="L6" t="s">
        <v>170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195</v>
      </c>
      <c r="K7" t="s">
        <v>15</v>
      </c>
      <c r="L7" t="s">
        <v>155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195</v>
      </c>
      <c r="K8" t="s">
        <v>19</v>
      </c>
      <c r="L8" t="s">
        <v>166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195</v>
      </c>
      <c r="K9" t="s">
        <v>18</v>
      </c>
      <c r="L9" t="s">
        <v>164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ref="E10:E24" si="3">VLOOKUP(D10,$K$1:$L$33,2,FALSE)</f>
        <v>Circuit Gilles Villeneuve</v>
      </c>
      <c r="F10" t="s">
        <v>195</v>
      </c>
      <c r="K10" t="s">
        <v>119</v>
      </c>
      <c r="L10" t="s">
        <v>161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3"/>
        <v>Red Bull Ring</v>
      </c>
      <c r="F11" t="s">
        <v>195</v>
      </c>
      <c r="K11" t="s">
        <v>117</v>
      </c>
      <c r="L11" t="s">
        <v>157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3"/>
        <v>Hungaroring</v>
      </c>
      <c r="F12" t="s">
        <v>195</v>
      </c>
      <c r="K12" t="s">
        <v>128</v>
      </c>
      <c r="L12" t="s">
        <v>167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3"/>
        <v>Circuit Zandvoort</v>
      </c>
      <c r="F13" t="s">
        <v>195</v>
      </c>
      <c r="K13" t="s">
        <v>189</v>
      </c>
      <c r="L13" t="s">
        <v>190</v>
      </c>
    </row>
    <row r="14" spans="1:12" x14ac:dyDescent="0.45">
      <c r="A14" t="s">
        <v>31</v>
      </c>
      <c r="B14">
        <f t="shared" si="1"/>
        <v>13</v>
      </c>
      <c r="C14" s="9">
        <v>46143</v>
      </c>
      <c r="D14" t="s">
        <v>168</v>
      </c>
      <c r="E14" t="str">
        <f t="shared" si="3"/>
        <v>Autodromo Nazionale Monza</v>
      </c>
      <c r="F14" t="s">
        <v>195</v>
      </c>
      <c r="K14" t="s">
        <v>38</v>
      </c>
      <c r="L14" t="s">
        <v>159</v>
      </c>
    </row>
    <row r="15" spans="1:12" x14ac:dyDescent="0.45">
      <c r="A15" t="s">
        <v>31</v>
      </c>
      <c r="B15">
        <f t="shared" si="1"/>
        <v>14</v>
      </c>
      <c r="C15" s="9">
        <v>46159</v>
      </c>
      <c r="D15" t="s">
        <v>122</v>
      </c>
      <c r="E15" t="str">
        <f t="shared" si="3"/>
        <v>Baku City Circuit</v>
      </c>
      <c r="F15" t="s">
        <v>196</v>
      </c>
      <c r="K15" t="s">
        <v>125</v>
      </c>
      <c r="L15" t="s">
        <v>185</v>
      </c>
    </row>
    <row r="16" spans="1:12" x14ac:dyDescent="0.45">
      <c r="A16" t="s">
        <v>31</v>
      </c>
      <c r="B16">
        <f t="shared" si="1"/>
        <v>15</v>
      </c>
      <c r="C16" s="9">
        <f t="shared" ref="C16:C24" si="4">C15+7</f>
        <v>46166</v>
      </c>
      <c r="D16" t="s">
        <v>171</v>
      </c>
      <c r="E16" t="str">
        <f t="shared" si="3"/>
        <v>Marina Bay Street Circuit</v>
      </c>
      <c r="F16" t="s">
        <v>196</v>
      </c>
      <c r="K16" t="s">
        <v>127</v>
      </c>
      <c r="L16" t="s">
        <v>165</v>
      </c>
    </row>
    <row r="17" spans="1:12" x14ac:dyDescent="0.45">
      <c r="A17" t="s">
        <v>31</v>
      </c>
      <c r="B17">
        <f t="shared" si="1"/>
        <v>16</v>
      </c>
      <c r="C17" s="9">
        <f t="shared" si="4"/>
        <v>46173</v>
      </c>
      <c r="D17" t="s">
        <v>120</v>
      </c>
      <c r="E17" t="str">
        <f t="shared" si="3"/>
        <v>Circuit of the Americas</v>
      </c>
      <c r="F17" t="s">
        <v>196</v>
      </c>
      <c r="K17" t="s">
        <v>168</v>
      </c>
      <c r="L17" t="s">
        <v>169</v>
      </c>
    </row>
    <row r="18" spans="1:12" x14ac:dyDescent="0.45">
      <c r="A18" t="s">
        <v>31</v>
      </c>
      <c r="B18">
        <f t="shared" si="1"/>
        <v>17</v>
      </c>
      <c r="C18" s="9">
        <f t="shared" si="4"/>
        <v>46180</v>
      </c>
      <c r="D18" t="s">
        <v>174</v>
      </c>
      <c r="E18" t="str">
        <f t="shared" si="3"/>
        <v>Autódromo Hermanos Rodríguez</v>
      </c>
      <c r="F18" t="s">
        <v>196</v>
      </c>
      <c r="K18" t="s">
        <v>17</v>
      </c>
      <c r="L18" t="s">
        <v>158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46187</v>
      </c>
      <c r="D19" t="s">
        <v>115</v>
      </c>
      <c r="E19" t="str">
        <f t="shared" si="3"/>
        <v>Albert Park Circuit</v>
      </c>
      <c r="F19" t="s">
        <v>196</v>
      </c>
      <c r="K19" t="s">
        <v>118</v>
      </c>
      <c r="L19" t="s">
        <v>181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46194</v>
      </c>
      <c r="D20" t="s">
        <v>117</v>
      </c>
      <c r="E20" t="str">
        <f t="shared" si="3"/>
        <v>Shanghai International Circuit</v>
      </c>
      <c r="F20" t="s">
        <v>196</v>
      </c>
      <c r="K20" t="s">
        <v>174</v>
      </c>
      <c r="L20" t="s">
        <v>175</v>
      </c>
    </row>
    <row r="21" spans="1:12" x14ac:dyDescent="0.45">
      <c r="A21" t="s">
        <v>31</v>
      </c>
      <c r="B21">
        <f t="shared" si="1"/>
        <v>20</v>
      </c>
      <c r="C21" s="9">
        <f t="shared" si="4"/>
        <v>46201</v>
      </c>
      <c r="D21" t="s">
        <v>176</v>
      </c>
      <c r="E21" t="str">
        <f t="shared" si="3"/>
        <v>Autódromo José Carlos Pace (Interlagos)</v>
      </c>
      <c r="F21" t="s">
        <v>196</v>
      </c>
      <c r="K21" t="s">
        <v>20</v>
      </c>
      <c r="L21" t="s">
        <v>180</v>
      </c>
    </row>
    <row r="22" spans="1:12" x14ac:dyDescent="0.45">
      <c r="A22" t="s">
        <v>31</v>
      </c>
      <c r="B22">
        <f t="shared" si="1"/>
        <v>21</v>
      </c>
      <c r="C22" s="9">
        <f t="shared" si="4"/>
        <v>46208</v>
      </c>
      <c r="D22" t="s">
        <v>118</v>
      </c>
      <c r="E22" t="str">
        <f t="shared" si="3"/>
        <v>Las Vegas Strip Circuit</v>
      </c>
      <c r="F22" t="s">
        <v>196</v>
      </c>
      <c r="K22" t="s">
        <v>124</v>
      </c>
      <c r="L22" t="s">
        <v>160</v>
      </c>
    </row>
    <row r="23" spans="1:12" x14ac:dyDescent="0.45">
      <c r="A23" t="s">
        <v>31</v>
      </c>
      <c r="B23">
        <f t="shared" si="1"/>
        <v>22</v>
      </c>
      <c r="C23" s="9">
        <f t="shared" si="4"/>
        <v>46215</v>
      </c>
      <c r="D23" t="s">
        <v>121</v>
      </c>
      <c r="E23" t="str">
        <f t="shared" si="3"/>
        <v>Lusail International Circuit</v>
      </c>
      <c r="F23" t="s">
        <v>196</v>
      </c>
      <c r="K23" t="s">
        <v>123</v>
      </c>
      <c r="L23" t="s">
        <v>182</v>
      </c>
    </row>
    <row r="24" spans="1:12" x14ac:dyDescent="0.45">
      <c r="A24" t="s">
        <v>31</v>
      </c>
      <c r="B24">
        <f t="shared" si="1"/>
        <v>23</v>
      </c>
      <c r="C24" s="9">
        <f t="shared" si="4"/>
        <v>46222</v>
      </c>
      <c r="D24" t="s">
        <v>129</v>
      </c>
      <c r="E24" t="str">
        <f t="shared" si="3"/>
        <v>Yas Marina Circuit</v>
      </c>
      <c r="F24" t="s">
        <v>196</v>
      </c>
      <c r="K24" t="s">
        <v>121</v>
      </c>
      <c r="L24" t="s">
        <v>179</v>
      </c>
    </row>
    <row r="25" spans="1:12" x14ac:dyDescent="0.45">
      <c r="C25" s="9"/>
      <c r="K25" t="s">
        <v>188</v>
      </c>
      <c r="L25" t="s">
        <v>155</v>
      </c>
    </row>
    <row r="26" spans="1:12" x14ac:dyDescent="0.45">
      <c r="K26" t="s">
        <v>176</v>
      </c>
      <c r="L26" t="s">
        <v>177</v>
      </c>
    </row>
    <row r="27" spans="1:12" x14ac:dyDescent="0.45">
      <c r="K27" t="s">
        <v>16</v>
      </c>
      <c r="L27" t="s">
        <v>156</v>
      </c>
    </row>
    <row r="28" spans="1:12" x14ac:dyDescent="0.45">
      <c r="K28" t="s">
        <v>171</v>
      </c>
      <c r="L28" t="s">
        <v>172</v>
      </c>
    </row>
    <row r="29" spans="1:12" x14ac:dyDescent="0.45">
      <c r="K29" t="s">
        <v>116</v>
      </c>
      <c r="L29" t="s">
        <v>162</v>
      </c>
    </row>
    <row r="30" spans="1:12" x14ac:dyDescent="0.45">
      <c r="K30" t="s">
        <v>186</v>
      </c>
      <c r="L30" t="s">
        <v>163</v>
      </c>
    </row>
    <row r="31" spans="1:12" x14ac:dyDescent="0.45">
      <c r="K31" t="s">
        <v>183</v>
      </c>
      <c r="L31" t="s">
        <v>184</v>
      </c>
    </row>
    <row r="32" spans="1:12" x14ac:dyDescent="0.45">
      <c r="K32" t="s">
        <v>191</v>
      </c>
      <c r="L32" t="s">
        <v>192</v>
      </c>
    </row>
    <row r="33" spans="11:12" x14ac:dyDescent="0.45">
      <c r="K33" t="s">
        <v>120</v>
      </c>
      <c r="L33" t="s">
        <v>173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G327"/>
  <sheetViews>
    <sheetView workbookViewId="0">
      <selection activeCell="C13" sqref="C13"/>
    </sheetView>
  </sheetViews>
  <sheetFormatPr defaultRowHeight="14.25" x14ac:dyDescent="0.45"/>
  <cols>
    <col min="1" max="1" width="16.398437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151</v>
      </c>
    </row>
    <row r="12" spans="1:4" x14ac:dyDescent="0.45">
      <c r="A12" t="s">
        <v>31</v>
      </c>
      <c r="B12" t="s">
        <v>30</v>
      </c>
      <c r="C12" t="s">
        <v>32</v>
      </c>
      <c r="D12">
        <v>219</v>
      </c>
    </row>
    <row r="13" spans="1:4" x14ac:dyDescent="0.45">
      <c r="C13" t="s">
        <v>0</v>
      </c>
      <c r="D13">
        <v>124</v>
      </c>
    </row>
    <row r="14" spans="1:4" x14ac:dyDescent="0.45">
      <c r="C14" t="s">
        <v>34</v>
      </c>
      <c r="D14">
        <v>116</v>
      </c>
    </row>
    <row r="15" spans="1:4" x14ac:dyDescent="0.45">
      <c r="C15" t="s">
        <v>1</v>
      </c>
      <c r="D15">
        <v>114</v>
      </c>
    </row>
    <row r="16" spans="1:4" x14ac:dyDescent="0.45">
      <c r="C16" t="s">
        <v>7</v>
      </c>
      <c r="D16">
        <v>102</v>
      </c>
    </row>
    <row r="17" spans="1:4" x14ac:dyDescent="0.45">
      <c r="C17" t="s">
        <v>3</v>
      </c>
      <c r="D17">
        <v>100</v>
      </c>
    </row>
    <row r="18" spans="1:4" x14ac:dyDescent="0.45">
      <c r="C18" t="s">
        <v>33</v>
      </c>
      <c r="D18">
        <v>100</v>
      </c>
    </row>
    <row r="19" spans="1:4" x14ac:dyDescent="0.45">
      <c r="C19" t="s">
        <v>6</v>
      </c>
      <c r="D19">
        <v>76</v>
      </c>
    </row>
    <row r="20" spans="1:4" x14ac:dyDescent="0.45">
      <c r="C20" t="s">
        <v>2</v>
      </c>
      <c r="D20">
        <v>73</v>
      </c>
    </row>
    <row r="21" spans="1:4" x14ac:dyDescent="0.45">
      <c r="C21" t="s">
        <v>4</v>
      </c>
      <c r="D21">
        <v>67</v>
      </c>
    </row>
    <row r="22" spans="1:4" x14ac:dyDescent="0.45">
      <c r="C22" t="s">
        <v>35</v>
      </c>
      <c r="D22">
        <v>48</v>
      </c>
    </row>
    <row r="23" spans="1:4" x14ac:dyDescent="0.45">
      <c r="C23" t="s">
        <v>5</v>
      </c>
      <c r="D23">
        <v>29</v>
      </c>
    </row>
    <row r="24" spans="1:4" x14ac:dyDescent="0.45">
      <c r="C24" t="s">
        <v>9</v>
      </c>
      <c r="D24">
        <v>15</v>
      </c>
    </row>
    <row r="25" spans="1:4" x14ac:dyDescent="0.45">
      <c r="C25" t="s">
        <v>12</v>
      </c>
      <c r="D25">
        <v>15</v>
      </c>
    </row>
    <row r="26" spans="1:4" x14ac:dyDescent="0.45">
      <c r="C26" t="s">
        <v>8</v>
      </c>
      <c r="D26">
        <v>7</v>
      </c>
    </row>
    <row r="27" spans="1:4" x14ac:dyDescent="0.45">
      <c r="C27" t="s">
        <v>10</v>
      </c>
      <c r="D27">
        <v>2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7" x14ac:dyDescent="0.45">
      <c r="C65" t="s">
        <v>0</v>
      </c>
      <c r="D65">
        <v>156</v>
      </c>
    </row>
    <row r="66" spans="3:7" x14ac:dyDescent="0.45">
      <c r="C66" t="s">
        <v>2</v>
      </c>
      <c r="D66">
        <v>144</v>
      </c>
      <c r="G66" t="s">
        <v>148</v>
      </c>
    </row>
    <row r="67" spans="3:7" x14ac:dyDescent="0.45">
      <c r="C67" t="s">
        <v>6</v>
      </c>
      <c r="D67">
        <v>138</v>
      </c>
    </row>
    <row r="68" spans="3:7" x14ac:dyDescent="0.45">
      <c r="C68" t="s">
        <v>34</v>
      </c>
      <c r="D68">
        <v>125</v>
      </c>
    </row>
    <row r="69" spans="3:7" x14ac:dyDescent="0.45">
      <c r="C69" t="s">
        <v>3</v>
      </c>
      <c r="D69">
        <v>109</v>
      </c>
    </row>
    <row r="70" spans="3:7" x14ac:dyDescent="0.45">
      <c r="C70" t="s">
        <v>7</v>
      </c>
      <c r="D70">
        <v>97</v>
      </c>
    </row>
    <row r="71" spans="3:7" x14ac:dyDescent="0.45">
      <c r="C71" t="s">
        <v>68</v>
      </c>
      <c r="D71">
        <v>94</v>
      </c>
    </row>
    <row r="72" spans="3:7" x14ac:dyDescent="0.45">
      <c r="C72" t="s">
        <v>12</v>
      </c>
      <c r="D72">
        <v>76</v>
      </c>
    </row>
    <row r="73" spans="3:7" x14ac:dyDescent="0.45">
      <c r="C73" t="s">
        <v>9</v>
      </c>
      <c r="D73">
        <v>40</v>
      </c>
    </row>
    <row r="74" spans="3:7" x14ac:dyDescent="0.45">
      <c r="C74" t="s">
        <v>84</v>
      </c>
      <c r="D74">
        <v>34</v>
      </c>
    </row>
    <row r="75" spans="3:7" x14ac:dyDescent="0.45">
      <c r="C75" t="s">
        <v>80</v>
      </c>
      <c r="D75">
        <v>32</v>
      </c>
    </row>
    <row r="76" spans="3:7" x14ac:dyDescent="0.45">
      <c r="C76" t="s">
        <v>10</v>
      </c>
      <c r="D76">
        <v>32</v>
      </c>
    </row>
    <row r="77" spans="3:7" x14ac:dyDescent="0.45">
      <c r="C77" t="s">
        <v>8</v>
      </c>
      <c r="D77">
        <v>29</v>
      </c>
    </row>
    <row r="78" spans="3:7" x14ac:dyDescent="0.45">
      <c r="C78" t="s">
        <v>79</v>
      </c>
      <c r="D78">
        <v>25</v>
      </c>
    </row>
    <row r="79" spans="3:7" x14ac:dyDescent="0.45">
      <c r="C79" t="s">
        <v>43</v>
      </c>
      <c r="D79">
        <v>25</v>
      </c>
    </row>
    <row r="80" spans="3:7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149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150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111</v>
      </c>
      <c r="D327">
        <v>35186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152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2026-05-02T06:21:31Z</dcterms:modified>
</cp:coreProperties>
</file>