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71" documentId="13_ncr:1_{546CA201-7B2D-4523-9F6A-9ED9E409A803}" xr6:coauthVersionLast="47" xr6:coauthVersionMax="47" xr10:uidLastSave="{7A28AE57-5FC4-44B8-9D1E-2785FF0A01AA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47" i="10" l="1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7" i="13"/>
  <c r="C6" i="13"/>
  <c r="C5" i="13"/>
  <c r="C4" i="13"/>
  <c r="C3" i="13"/>
  <c r="C2" i="13" s="1"/>
  <c r="C8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3" i="13"/>
  <c r="B4" i="13" s="1"/>
  <c r="B5" i="13" s="1"/>
  <c r="B6" i="13" s="1"/>
  <c r="B7" i="13" s="1"/>
  <c r="B8" i="13" s="1"/>
  <c r="E9" i="13"/>
  <c r="C10" i="13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8" i="13"/>
  <c r="E7" i="13"/>
  <c r="E6" i="13"/>
  <c r="E5" i="13"/>
  <c r="E4" i="13"/>
  <c r="E3" i="13"/>
  <c r="E2" i="13"/>
</calcChain>
</file>

<file path=xl/sharedStrings.xml><?xml version="1.0" encoding="utf-8"?>
<sst xmlns="http://schemas.openxmlformats.org/spreadsheetml/2006/main" count="15725" uniqueCount="200">
  <si>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</si>
  <si>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</si>
  <si>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</si>
  <si>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</si>
  <si>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</si>
  <si>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</si>
  <si>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</si>
  <si>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</si>
  <si>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</si>
  <si>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</si>
  <si>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</si>
  <si>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</si>
  <si>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</si>
  <si>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</si>
  <si>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</si>
  <si>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</si>
  <si>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</si>
  <si>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</si>
  <si>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</si>
  <si>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</si>
  <si>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</si>
  <si>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</si>
  <si>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</si>
  <si>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</si>
  <si>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</si>
  <si>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</si>
  <si>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</si>
  <si>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</si>
  <si>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</si>
  <si>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</si>
  <si>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</si>
  <si>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</si>
  <si>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</si>
  <si>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</si>
  <si>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</si>
  <si>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</si>
  <si>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</si>
  <si>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</si>
  <si>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</si>
  <si>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</si>
  <si>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</si>
  <si>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</si>
  <si>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</si>
  <si>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</si>
  <si>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</si>
  <si>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</si>
  <si>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</si>
  <si>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</si>
  <si>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</si>
  <si>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</si>
  <si>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</si>
  <si>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</si>
  <si>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</si>
  <si>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</si>
  <si>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</si>
  <si>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</si>
  <si>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</si>
  <si>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</si>
  <si>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</si>
  <si>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</si>
  <si>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</si>
  <si>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</si>
  <si>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</si>
  <si>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</si>
  <si>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</si>
  <si>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</si>
  <si>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</si>
  <si>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</si>
  <si>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</si>
  <si>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</si>
  <si>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</si>
  <si>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</si>
  <si>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</si>
  <si>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</si>
  <si>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</si>
  <si>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</si>
  <si>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</si>
  <si>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</si>
  <si>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</si>
  <si>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</si>
  <si>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</si>
  <si>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</si>
  <si>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</si>
  <si>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</si>
  <si>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</si>
  <si>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</si>
  <si>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</si>
  <si>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</si>
  <si>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</si>
  <si>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</si>
  <si>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</si>
  <si>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</si>
  <si>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</si>
  <si>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</si>
  <si>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</si>
  <si>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</si>
  <si>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</si>
  <si>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</si>
  <si>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</si>
  <si>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</si>
  <si>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</si>
  <si>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</si>
  <si>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</si>
  <si>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</si>
  <si>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</si>
  <si>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</si>
  <si>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</si>
  <si>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</si>
  <si>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</si>
  <si>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</si>
  <si>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</si>
  <si>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</si>
  <si>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</si>
  <si>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</si>
  <si>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</si>
  <si>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</si>
  <si>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</si>
  <si>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</si>
  <si>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</si>
  <si>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</si>
  <si>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</si>
  <si>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</si>
  <si>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</si>
  <si>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</si>
  <si>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</si>
  <si>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</si>
  <si>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</si>
  <si>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</si>
  <si>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</si>
  <si>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</si>
  <si>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</si>
  <si>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</si>
  <si>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</si>
  <si>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</si>
  <si>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</si>
  <si>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</si>
  <si>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</si>
  <si>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</si>
  <si>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</si>
  <si>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</si>
  <si>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</si>
  <si>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</si>
  <si>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</si>
  <si>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</si>
  <si>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</si>
  <si>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</si>
  <si>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</si>
  <si>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</si>
  <si>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Tomas</t>
  </si>
  <si>
    <t>Aston</t>
  </si>
  <si>
    <t>red bull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</si>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</sst>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9:C18" firstHeaderRow="2" firstDataRow="2" firstDataCol="2" rowPageCount="6" colPageCount="1"/>
  <pivotFields count="9">
    <pivotField axis="axisPage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Page" compact="0" outline="0" multipleItemSelectionAllowed="1" showAll="0" defaultSubtotal="0">
      <items count="27">
        <item x="26"/>
        <item h="1" x="8"/>
        <item h="1" x="25"/>
        <item h="1" x="14"/>
        <item h="1" x="24"/>
        <item h="1" x="2"/>
        <item h="1" x="5"/>
        <item h="1" x="23"/>
        <item h="1" x="19"/>
        <item h="1" x="12"/>
        <item h="1" x="20"/>
        <item h="1" x="9"/>
        <item h="1" x="18"/>
        <item h="1" x="13"/>
        <item h="1" x="0"/>
        <item h="1" x="1"/>
        <item h="1" x="21"/>
        <item h="1" x="3"/>
        <item h="1" x="6"/>
        <item h="1" x="11"/>
        <item h="1" x="10"/>
        <item h="1" x="17"/>
        <item h="1" x="16"/>
        <item h="1" x="7"/>
        <item h="1" x="22"/>
        <item h="1" x="4"/>
        <item h="1" x="15"/>
      </items>
    </pivotField>
    <pivotField axis="axisRow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Row" compact="0" outline="0" multipleItemSelectionAllowed="1" showAll="0" defaultSubtotal="0">
      <items count="25">
        <item x="21"/>
        <item h="1"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Page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2">
    <field x="3"/>
    <field x="4"/>
  </rowFields>
  <rowItems count="8">
    <i>
      <x/>
      <x v="8"/>
    </i>
    <i>
      <x v="1"/>
      <x v="6"/>
    </i>
    <i>
      <x v="2"/>
      <x v="15"/>
    </i>
    <i>
      <x v="3"/>
      <x v="5"/>
    </i>
    <i>
      <x v="4"/>
      <x v="22"/>
    </i>
    <i>
      <x v="5"/>
      <x v="18"/>
    </i>
    <i>
      <x v="6"/>
      <x v="12"/>
    </i>
    <i t="grand">
      <x/>
    </i>
  </rowItems>
  <colItems count="1">
    <i/>
  </colItems>
  <pageFields count="6">
    <pageField fld="6" hier="-1"/>
    <pageField fld="1" hier="-1"/>
    <pageField fld="0" hier="-1"/>
    <pageField fld="2" hier="-1"/>
    <pageField fld="7" hier="-1"/>
    <pageField fld="5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42" activePane="bottomLeft" state="frozen"/>
      <selection pane="bottomLeft" activeCell="A1448" sqref="A144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152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152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152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152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152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152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153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153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153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153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153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153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47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E1448" t="s">
        <v>37</v>
      </c>
      <c r="I1448" t="s">
        <v>37</v>
      </c>
    </row>
    <row r="1449" spans="1:9" x14ac:dyDescent="0.45">
      <c r="E1449" t="s">
        <v>37</v>
      </c>
      <c r="I1449" t="s">
        <v>37</v>
      </c>
    </row>
    <row r="1450" spans="1:9" x14ac:dyDescent="0.45">
      <c r="E1450" t="s">
        <v>37</v>
      </c>
      <c r="I1450" t="s">
        <v>37</v>
      </c>
    </row>
    <row r="1451" spans="1:9" x14ac:dyDescent="0.45">
      <c r="E1451" t="s">
        <v>37</v>
      </c>
      <c r="I1451" t="s">
        <v>37</v>
      </c>
    </row>
    <row r="1452" spans="1:9" x14ac:dyDescent="0.45">
      <c r="E1452" t="s">
        <v>37</v>
      </c>
      <c r="I1452" t="s">
        <v>37</v>
      </c>
    </row>
    <row r="1453" spans="1:9" x14ac:dyDescent="0.45">
      <c r="E1453" t="s">
        <v>37</v>
      </c>
      <c r="I1453" t="s">
        <v>37</v>
      </c>
    </row>
    <row r="1454" spans="1:9" x14ac:dyDescent="0.45">
      <c r="E1454" t="s">
        <v>37</v>
      </c>
      <c r="I1454" t="s">
        <v>37</v>
      </c>
    </row>
    <row r="1455" spans="1:9" x14ac:dyDescent="0.45">
      <c r="E1455" t="s">
        <v>37</v>
      </c>
      <c r="I1455" t="s">
        <v>37</v>
      </c>
    </row>
    <row r="1456" spans="1:9" x14ac:dyDescent="0.45">
      <c r="E1456" t="s">
        <v>37</v>
      </c>
      <c r="I1456" t="s">
        <v>37</v>
      </c>
    </row>
    <row r="1457" spans="5:9" x14ac:dyDescent="0.45">
      <c r="E1457" t="s">
        <v>37</v>
      </c>
      <c r="I1457" t="s">
        <v>37</v>
      </c>
    </row>
    <row r="1458" spans="5:9" x14ac:dyDescent="0.45">
      <c r="E1458" t="s">
        <v>37</v>
      </c>
      <c r="I1458" t="s">
        <v>37</v>
      </c>
    </row>
    <row r="1459" spans="5:9" x14ac:dyDescent="0.45">
      <c r="E1459" t="s">
        <v>37</v>
      </c>
      <c r="I1459" t="s">
        <v>37</v>
      </c>
    </row>
    <row r="1460" spans="5:9" x14ac:dyDescent="0.45">
      <c r="E1460" t="s">
        <v>37</v>
      </c>
      <c r="I1460" t="s">
        <v>37</v>
      </c>
    </row>
    <row r="1461" spans="5:9" x14ac:dyDescent="0.45">
      <c r="E1461" t="s">
        <v>37</v>
      </c>
      <c r="I1461" t="s">
        <v>37</v>
      </c>
    </row>
    <row r="1462" spans="5:9" x14ac:dyDescent="0.45">
      <c r="E1462" t="s">
        <v>37</v>
      </c>
      <c r="I1462" t="s">
        <v>37</v>
      </c>
    </row>
    <row r="1463" spans="5:9" x14ac:dyDescent="0.45">
      <c r="E1463" t="s">
        <v>37</v>
      </c>
      <c r="I1463" t="s">
        <v>37</v>
      </c>
    </row>
    <row r="1464" spans="5:9" x14ac:dyDescent="0.45">
      <c r="E1464" t="s">
        <v>37</v>
      </c>
      <c r="I1464" t="s">
        <v>37</v>
      </c>
    </row>
    <row r="1465" spans="5:9" x14ac:dyDescent="0.45">
      <c r="E1465" t="s">
        <v>37</v>
      </c>
      <c r="I1465" t="s">
        <v>37</v>
      </c>
    </row>
    <row r="1466" spans="5:9" x14ac:dyDescent="0.45">
      <c r="E1466" t="s">
        <v>37</v>
      </c>
      <c r="I1466" t="s">
        <v>37</v>
      </c>
    </row>
    <row r="1467" spans="5:9" x14ac:dyDescent="0.45">
      <c r="E1467" t="s">
        <v>37</v>
      </c>
      <c r="I1467" t="s">
        <v>37</v>
      </c>
    </row>
    <row r="1468" spans="5:9" x14ac:dyDescent="0.45">
      <c r="E1468" t="s">
        <v>37</v>
      </c>
      <c r="I1468" t="s">
        <v>37</v>
      </c>
    </row>
    <row r="1469" spans="5:9" x14ac:dyDescent="0.45">
      <c r="E1469" t="s">
        <v>37</v>
      </c>
      <c r="I1469" t="s">
        <v>37</v>
      </c>
    </row>
    <row r="1470" spans="5:9" x14ac:dyDescent="0.45">
      <c r="E1470" t="s">
        <v>37</v>
      </c>
      <c r="I1470" t="s">
        <v>37</v>
      </c>
    </row>
    <row r="1471" spans="5:9" x14ac:dyDescent="0.45">
      <c r="E1471" t="s">
        <v>37</v>
      </c>
      <c r="I1471" t="s">
        <v>37</v>
      </c>
    </row>
    <row r="1472" spans="5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6" workbookViewId="0">
      <selection activeCell="A25" sqref="A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730468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196</v>
      </c>
      <c r="D1" s="7" t="s">
        <v>26</v>
      </c>
      <c r="E1" s="7" t="s">
        <v>156</v>
      </c>
      <c r="F1" s="7" t="s">
        <v>197</v>
      </c>
      <c r="K1" s="8" t="s">
        <v>26</v>
      </c>
      <c r="L1" s="8" t="s">
        <v>156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198</v>
      </c>
      <c r="K2" t="s">
        <v>190</v>
      </c>
      <c r="L2" t="s">
        <v>167</v>
      </c>
    </row>
    <row r="3" spans="1:12" x14ac:dyDescent="0.4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198</v>
      </c>
      <c r="K3" t="s">
        <v>129</v>
      </c>
      <c r="L3" t="s">
        <v>181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198</v>
      </c>
      <c r="K4" t="s">
        <v>115</v>
      </c>
      <c r="L4" t="s">
        <v>157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198</v>
      </c>
      <c r="K5" t="s">
        <v>126</v>
      </c>
      <c r="L5" t="s">
        <v>166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198</v>
      </c>
      <c r="K6" t="s">
        <v>122</v>
      </c>
      <c r="L6" t="s">
        <v>173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198</v>
      </c>
      <c r="K7" t="s">
        <v>15</v>
      </c>
      <c r="L7" t="s">
        <v>158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198</v>
      </c>
      <c r="K8" t="s">
        <v>19</v>
      </c>
      <c r="L8" t="s">
        <v>169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198</v>
      </c>
      <c r="K9" t="s">
        <v>18</v>
      </c>
      <c r="L9" t="s">
        <v>167</v>
      </c>
    </row>
    <row r="10" spans="1:12" x14ac:dyDescent="0.45">
      <c r="A10" t="s">
        <v>31</v>
      </c>
      <c r="B10">
        <f t="shared" si="1"/>
        <v>9</v>
      </c>
      <c r="C10" s="9">
        <f>C9+7</f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198</v>
      </c>
      <c r="K10" t="s">
        <v>119</v>
      </c>
      <c r="L10" t="s">
        <v>164</v>
      </c>
    </row>
    <row r="11" spans="1:12" x14ac:dyDescent="0.45">
      <c r="A11" t="s">
        <v>31</v>
      </c>
      <c r="B11">
        <f t="shared" si="1"/>
        <v>10</v>
      </c>
      <c r="C11" s="9">
        <f t="shared" ref="C11:C25" si="4">C10+7</f>
        <v>46088</v>
      </c>
      <c r="D11" t="s">
        <v>126</v>
      </c>
      <c r="E11" t="str">
        <f t="shared" si="3"/>
        <v>Red Bull Ring</v>
      </c>
      <c r="F11" t="s">
        <v>199</v>
      </c>
      <c r="K11" t="s">
        <v>117</v>
      </c>
      <c r="L11" t="s">
        <v>160</v>
      </c>
    </row>
    <row r="12" spans="1:12" x14ac:dyDescent="0.45">
      <c r="A12" t="s">
        <v>31</v>
      </c>
      <c r="B12">
        <f t="shared" si="1"/>
        <v>11</v>
      </c>
      <c r="C12" s="9">
        <f t="shared" si="4"/>
        <v>46095</v>
      </c>
      <c r="D12" t="s">
        <v>127</v>
      </c>
      <c r="E12" t="str">
        <f t="shared" si="3"/>
        <v>Hungaroring</v>
      </c>
      <c r="F12" t="s">
        <v>199</v>
      </c>
      <c r="K12" t="s">
        <v>128</v>
      </c>
      <c r="L12" t="s">
        <v>170</v>
      </c>
    </row>
    <row r="13" spans="1:12" x14ac:dyDescent="0.45">
      <c r="A13" t="s">
        <v>31</v>
      </c>
      <c r="B13">
        <f t="shared" si="1"/>
        <v>12</v>
      </c>
      <c r="C13" s="9">
        <f t="shared" si="4"/>
        <v>46102</v>
      </c>
      <c r="D13" t="s">
        <v>128</v>
      </c>
      <c r="E13" t="str">
        <f t="shared" si="3"/>
        <v>Circuit Zandvoort</v>
      </c>
      <c r="F13" t="s">
        <v>199</v>
      </c>
      <c r="K13" t="s">
        <v>192</v>
      </c>
      <c r="L13" t="s">
        <v>193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46109</v>
      </c>
      <c r="D14" t="s">
        <v>171</v>
      </c>
      <c r="E14" t="str">
        <f t="shared" si="3"/>
        <v>Autodromo Nazionale Monza</v>
      </c>
      <c r="F14" t="s">
        <v>199</v>
      </c>
      <c r="K14" t="s">
        <v>38</v>
      </c>
      <c r="L14" t="s">
        <v>162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46116</v>
      </c>
      <c r="D15" t="s">
        <v>122</v>
      </c>
      <c r="E15" t="str">
        <f t="shared" si="3"/>
        <v>Baku City Circuit</v>
      </c>
      <c r="F15" t="s">
        <v>199</v>
      </c>
      <c r="K15" t="s">
        <v>125</v>
      </c>
      <c r="L15" t="s">
        <v>188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46123</v>
      </c>
      <c r="D16" t="s">
        <v>174</v>
      </c>
      <c r="E16" t="str">
        <f t="shared" si="3"/>
        <v>Marina Bay Street Circuit</v>
      </c>
      <c r="F16" t="s">
        <v>199</v>
      </c>
      <c r="K16" t="s">
        <v>127</v>
      </c>
      <c r="L16" t="s">
        <v>168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46130</v>
      </c>
      <c r="D17" t="s">
        <v>120</v>
      </c>
      <c r="E17" t="str">
        <f t="shared" si="3"/>
        <v>Circuit of the Americas</v>
      </c>
      <c r="F17" t="s">
        <v>199</v>
      </c>
      <c r="K17" t="s">
        <v>171</v>
      </c>
      <c r="L17" t="s">
        <v>172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46137</v>
      </c>
      <c r="D18" t="s">
        <v>177</v>
      </c>
      <c r="E18" t="str">
        <f t="shared" si="3"/>
        <v>Autódromo Hermanos Rodríguez</v>
      </c>
      <c r="F18" t="s">
        <v>199</v>
      </c>
      <c r="K18" t="s">
        <v>17</v>
      </c>
      <c r="L18" t="s">
        <v>161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46144</v>
      </c>
      <c r="D19" t="s">
        <v>115</v>
      </c>
      <c r="E19" t="str">
        <f t="shared" si="3"/>
        <v>Albert Park Circuit</v>
      </c>
      <c r="F19" t="s">
        <v>199</v>
      </c>
      <c r="K19" t="s">
        <v>118</v>
      </c>
      <c r="L19" t="s">
        <v>184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46151</v>
      </c>
      <c r="D20" t="s">
        <v>117</v>
      </c>
      <c r="E20" t="str">
        <f t="shared" si="3"/>
        <v>Shanghai International Circuit</v>
      </c>
      <c r="F20" t="s">
        <v>199</v>
      </c>
      <c r="K20" t="s">
        <v>177</v>
      </c>
      <c r="L20" t="s">
        <v>178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46158</v>
      </c>
      <c r="D21" t="s">
        <v>16</v>
      </c>
      <c r="E21" t="str">
        <f t="shared" si="3"/>
        <v>Jeddah Corniche Circuit</v>
      </c>
      <c r="F21" t="s">
        <v>199</v>
      </c>
      <c r="K21" t="s">
        <v>20</v>
      </c>
      <c r="L21" t="s">
        <v>183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46165</v>
      </c>
      <c r="D22" t="s">
        <v>179</v>
      </c>
      <c r="E22" t="str">
        <f t="shared" si="3"/>
        <v>Autódromo José Carlos Pace (Interlagos)</v>
      </c>
      <c r="F22" t="s">
        <v>199</v>
      </c>
      <c r="K22" t="s">
        <v>124</v>
      </c>
      <c r="L22" t="s">
        <v>163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46172</v>
      </c>
      <c r="D23" t="s">
        <v>118</v>
      </c>
      <c r="E23" t="str">
        <f t="shared" si="3"/>
        <v>Las Vegas Strip Circuit</v>
      </c>
      <c r="F23" t="s">
        <v>199</v>
      </c>
      <c r="K23" t="s">
        <v>123</v>
      </c>
      <c r="L23" t="s">
        <v>185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46179</v>
      </c>
      <c r="D24" t="s">
        <v>121</v>
      </c>
      <c r="E24" t="str">
        <f t="shared" si="3"/>
        <v>Lusail International Circuit</v>
      </c>
      <c r="F24" t="s">
        <v>199</v>
      </c>
      <c r="K24" t="s">
        <v>121</v>
      </c>
      <c r="L24" t="s">
        <v>182</v>
      </c>
    </row>
    <row r="25" spans="1:12" x14ac:dyDescent="0.45">
      <c r="A25" t="s">
        <v>31</v>
      </c>
      <c r="B25">
        <f t="shared" si="1"/>
        <v>24</v>
      </c>
      <c r="C25" s="9">
        <f t="shared" si="4"/>
        <v>46186</v>
      </c>
      <c r="D25" t="s">
        <v>129</v>
      </c>
      <c r="E25" t="str">
        <f t="shared" si="3"/>
        <v>Yas Marina Circuit</v>
      </c>
      <c r="F25" t="s">
        <v>199</v>
      </c>
      <c r="K25" t="s">
        <v>191</v>
      </c>
      <c r="L25" t="s">
        <v>158</v>
      </c>
    </row>
    <row r="26" spans="1:12" x14ac:dyDescent="0.45">
      <c r="K26" t="s">
        <v>179</v>
      </c>
      <c r="L26" t="s">
        <v>180</v>
      </c>
    </row>
    <row r="27" spans="1:12" x14ac:dyDescent="0.45">
      <c r="K27" t="s">
        <v>16</v>
      </c>
      <c r="L27" t="s">
        <v>159</v>
      </c>
    </row>
    <row r="28" spans="1:12" x14ac:dyDescent="0.45">
      <c r="K28" t="s">
        <v>174</v>
      </c>
      <c r="L28" t="s">
        <v>175</v>
      </c>
    </row>
    <row r="29" spans="1:12" x14ac:dyDescent="0.45">
      <c r="K29" t="s">
        <v>116</v>
      </c>
      <c r="L29" t="s">
        <v>165</v>
      </c>
    </row>
    <row r="30" spans="1:12" x14ac:dyDescent="0.45">
      <c r="K30" t="s">
        <v>189</v>
      </c>
      <c r="L30" t="s">
        <v>166</v>
      </c>
    </row>
    <row r="31" spans="1:12" x14ac:dyDescent="0.45">
      <c r="K31" t="s">
        <v>186</v>
      </c>
      <c r="L31" t="s">
        <v>187</v>
      </c>
    </row>
    <row r="32" spans="1:12" x14ac:dyDescent="0.45">
      <c r="K32" t="s">
        <v>194</v>
      </c>
      <c r="L32" t="s">
        <v>195</v>
      </c>
    </row>
    <row r="33" spans="11:12" x14ac:dyDescent="0.45">
      <c r="K33" t="s">
        <v>120</v>
      </c>
      <c r="L33" t="s">
        <v>176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2:I315"/>
  <sheetViews>
    <sheetView workbookViewId="0">
      <selection activeCell="E36" sqref="E36"/>
    </sheetView>
  </sheetViews>
  <sheetFormatPr defaultRowHeight="14.25" x14ac:dyDescent="0.45"/>
  <cols>
    <col min="1" max="2" width="17.265625" bestFit="1" customWidth="1"/>
    <col min="3" max="3" width="5.19921875" bestFit="1" customWidth="1"/>
    <col min="4" max="4" width="12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2" spans="1:3" x14ac:dyDescent="0.45">
      <c r="A2" s="5" t="s">
        <v>28</v>
      </c>
      <c r="B2" t="s">
        <v>112</v>
      </c>
    </row>
    <row r="3" spans="1:3" x14ac:dyDescent="0.45">
      <c r="A3" s="5" t="s">
        <v>23</v>
      </c>
      <c r="B3" t="s">
        <v>112</v>
      </c>
    </row>
    <row r="4" spans="1:3" x14ac:dyDescent="0.45">
      <c r="A4" s="5" t="s">
        <v>22</v>
      </c>
      <c r="B4" t="s">
        <v>112</v>
      </c>
    </row>
    <row r="5" spans="1:3" x14ac:dyDescent="0.45">
      <c r="A5" s="5" t="s">
        <v>24</v>
      </c>
      <c r="B5" t="s">
        <v>31</v>
      </c>
    </row>
    <row r="6" spans="1:3" x14ac:dyDescent="0.45">
      <c r="A6" s="5" t="s">
        <v>29</v>
      </c>
      <c r="B6" t="s">
        <v>112</v>
      </c>
    </row>
    <row r="7" spans="1:3" x14ac:dyDescent="0.45">
      <c r="A7" s="5" t="s">
        <v>27</v>
      </c>
      <c r="B7" t="s">
        <v>112</v>
      </c>
    </row>
    <row r="9" spans="1:3" x14ac:dyDescent="0.45">
      <c r="A9" s="5" t="s">
        <v>113</v>
      </c>
    </row>
    <row r="10" spans="1:3" x14ac:dyDescent="0.45">
      <c r="A10" s="5" t="s">
        <v>25</v>
      </c>
      <c r="B10" s="5" t="s">
        <v>26</v>
      </c>
      <c r="C10" t="s">
        <v>154</v>
      </c>
    </row>
    <row r="11" spans="1:3" x14ac:dyDescent="0.45">
      <c r="A11">
        <v>1</v>
      </c>
      <c r="B11" t="s">
        <v>18</v>
      </c>
      <c r="C11">
        <v>101</v>
      </c>
    </row>
    <row r="12" spans="1:3" x14ac:dyDescent="0.45">
      <c r="A12">
        <v>2</v>
      </c>
      <c r="B12" t="s">
        <v>19</v>
      </c>
      <c r="C12">
        <v>101</v>
      </c>
    </row>
    <row r="13" spans="1:3" x14ac:dyDescent="0.45">
      <c r="A13">
        <v>3</v>
      </c>
      <c r="B13" t="s">
        <v>17</v>
      </c>
      <c r="C13">
        <v>101</v>
      </c>
    </row>
    <row r="14" spans="1:3" x14ac:dyDescent="0.45">
      <c r="A14">
        <v>4</v>
      </c>
      <c r="B14" t="s">
        <v>15</v>
      </c>
      <c r="C14">
        <v>101</v>
      </c>
    </row>
    <row r="15" spans="1:3" x14ac:dyDescent="0.45">
      <c r="A15">
        <v>5</v>
      </c>
      <c r="B15" t="s">
        <v>16</v>
      </c>
      <c r="C15">
        <v>101</v>
      </c>
    </row>
    <row r="16" spans="1:3" x14ac:dyDescent="0.45">
      <c r="A16">
        <v>6</v>
      </c>
      <c r="B16" t="s">
        <v>20</v>
      </c>
      <c r="C16">
        <v>101</v>
      </c>
    </row>
    <row r="17" spans="1:3" x14ac:dyDescent="0.45">
      <c r="A17">
        <v>7</v>
      </c>
      <c r="B17" t="s">
        <v>38</v>
      </c>
      <c r="C17">
        <v>101</v>
      </c>
    </row>
    <row r="18" spans="1:3" x14ac:dyDescent="0.45">
      <c r="A18" t="s">
        <v>111</v>
      </c>
      <c r="C18">
        <v>707</v>
      </c>
    </row>
    <row r="66" spans="7:7" x14ac:dyDescent="0.45">
      <c r="G66" t="s">
        <v>151</v>
      </c>
    </row>
    <row r="313" spans="7:9" x14ac:dyDescent="0.45">
      <c r="G313" t="s">
        <v>34</v>
      </c>
      <c r="H313" t="s">
        <v>141</v>
      </c>
    </row>
    <row r="314" spans="7:9" x14ac:dyDescent="0.45">
      <c r="G314" t="s">
        <v>148</v>
      </c>
      <c r="H314" t="s">
        <v>137</v>
      </c>
    </row>
    <row r="315" spans="7:9" x14ac:dyDescent="0.45">
      <c r="G315" t="s">
        <v>33</v>
      </c>
      <c r="H315" t="s">
        <v>149</v>
      </c>
      <c r="I315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155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2026-03-01T10:50:29Z</dcterms:modified>
</cp:coreProperties>
</file>